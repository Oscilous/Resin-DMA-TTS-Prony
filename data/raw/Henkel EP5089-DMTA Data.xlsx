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 defaultThemeVersion="124226"/>
  <xr:revisionPtr revIDLastSave="0" documentId="13_ncr:1_{E7517A54-FC63-4507-8199-F704BF482384}" xr6:coauthVersionLast="45" xr6:coauthVersionMax="45" xr10:uidLastSave="{00000000-0000-0000-0000-000000000000}"/>
  <bookViews>
    <workbookView xWindow="780" yWindow="-108" windowWidth="19968" windowHeight="17496" tabRatio="792" activeTab="1" xr2:uid="{00000000-000D-0000-FFFF-FFFF00000000}"/>
  </bookViews>
  <sheets>
    <sheet name="Plot" sheetId="9" r:id="rId1"/>
    <sheet name="Worksheet" sheetId="1" r:id="rId2"/>
  </sheets>
  <definedNames>
    <definedName name="_xlnm._FilterDatabase" localSheetId="1" hidden="1">Worksheet!$A$1:$G$807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2" i="1"/>
  <c r="I796" i="1" l="1"/>
  <c r="I794" i="1"/>
  <c r="I793" i="1"/>
  <c r="I792" i="1"/>
  <c r="I791" i="1"/>
  <c r="I790" i="1"/>
  <c r="I782" i="1"/>
  <c r="I781" i="1"/>
  <c r="I779" i="1"/>
  <c r="I777" i="1"/>
  <c r="I776" i="1"/>
  <c r="I764" i="1"/>
  <c r="I762" i="1"/>
  <c r="I761" i="1"/>
  <c r="I760" i="1"/>
  <c r="I759" i="1"/>
  <c r="I758" i="1"/>
  <c r="I748" i="1"/>
  <c r="I747" i="1"/>
  <c r="I745" i="1"/>
  <c r="I744" i="1"/>
  <c r="I732" i="1"/>
  <c r="I730" i="1"/>
  <c r="I729" i="1"/>
  <c r="I728" i="1"/>
  <c r="I727" i="1"/>
  <c r="I726" i="1"/>
  <c r="I718" i="1"/>
  <c r="I717" i="1"/>
  <c r="I716" i="1"/>
  <c r="I715" i="1"/>
  <c r="I714" i="1"/>
  <c r="I713" i="1"/>
  <c r="I712" i="1"/>
  <c r="I700" i="1"/>
  <c r="I698" i="1"/>
  <c r="I697" i="1"/>
  <c r="I696" i="1"/>
  <c r="I695" i="1"/>
  <c r="I694" i="1"/>
  <c r="I684" i="1"/>
  <c r="I683" i="1"/>
  <c r="I682" i="1"/>
  <c r="I681" i="1"/>
  <c r="I668" i="1"/>
  <c r="I666" i="1"/>
  <c r="I665" i="1"/>
  <c r="I664" i="1"/>
  <c r="I663" i="1"/>
  <c r="I662" i="1"/>
  <c r="I653" i="1"/>
  <c r="I651" i="1"/>
  <c r="I650" i="1"/>
  <c r="I648" i="1"/>
  <c r="I636" i="1"/>
  <c r="I634" i="1"/>
  <c r="I633" i="1"/>
  <c r="I632" i="1"/>
  <c r="I631" i="1"/>
  <c r="I630" i="1"/>
  <c r="I621" i="1"/>
  <c r="I619" i="1"/>
  <c r="I618" i="1"/>
  <c r="I604" i="1"/>
  <c r="I602" i="1"/>
  <c r="I601" i="1"/>
  <c r="I600" i="1"/>
  <c r="I599" i="1"/>
  <c r="I598" i="1"/>
  <c r="I590" i="1"/>
  <c r="I589" i="1"/>
  <c r="I587" i="1"/>
  <c r="I586" i="1"/>
  <c r="I585" i="1"/>
  <c r="I584" i="1"/>
  <c r="I572" i="1"/>
  <c r="I570" i="1"/>
  <c r="I569" i="1"/>
  <c r="I568" i="1"/>
  <c r="I567" i="1"/>
  <c r="I566" i="1"/>
  <c r="I557" i="1"/>
  <c r="I555" i="1"/>
  <c r="I554" i="1"/>
  <c r="I553" i="1"/>
  <c r="I552" i="1"/>
  <c r="I540" i="1"/>
  <c r="I538" i="1"/>
  <c r="I537" i="1"/>
  <c r="I536" i="1"/>
  <c r="I535" i="1"/>
  <c r="I534" i="1"/>
  <c r="I526" i="1"/>
  <c r="I525" i="1"/>
  <c r="I524" i="1"/>
  <c r="I522" i="1"/>
  <c r="I521" i="1"/>
  <c r="I508" i="1"/>
  <c r="I506" i="1"/>
  <c r="I505" i="1"/>
  <c r="I504" i="1"/>
  <c r="I503" i="1"/>
  <c r="I50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7" i="1"/>
  <c r="I509" i="1"/>
  <c r="I510" i="1"/>
  <c r="I511" i="1"/>
  <c r="I512" i="1"/>
  <c r="I513" i="1"/>
  <c r="I514" i="1"/>
  <c r="I515" i="1"/>
  <c r="I516" i="1"/>
  <c r="I517" i="1"/>
  <c r="I518" i="1"/>
  <c r="I519" i="1"/>
  <c r="I527" i="1"/>
  <c r="I528" i="1"/>
  <c r="I529" i="1"/>
  <c r="I530" i="1"/>
  <c r="I531" i="1"/>
  <c r="I532" i="1"/>
  <c r="I533" i="1"/>
  <c r="I539" i="1"/>
  <c r="I541" i="1"/>
  <c r="I542" i="1"/>
  <c r="I543" i="1"/>
  <c r="I544" i="1"/>
  <c r="I545" i="1"/>
  <c r="I546" i="1"/>
  <c r="I547" i="1"/>
  <c r="I548" i="1"/>
  <c r="I549" i="1"/>
  <c r="I550" i="1"/>
  <c r="I551" i="1"/>
  <c r="I559" i="1"/>
  <c r="I560" i="1"/>
  <c r="I561" i="1"/>
  <c r="I562" i="1"/>
  <c r="I563" i="1"/>
  <c r="I564" i="1"/>
  <c r="I565" i="1"/>
  <c r="I571" i="1"/>
  <c r="I573" i="1"/>
  <c r="I574" i="1"/>
  <c r="I575" i="1"/>
  <c r="I576" i="1"/>
  <c r="I577" i="1"/>
  <c r="I578" i="1"/>
  <c r="I579" i="1"/>
  <c r="I580" i="1"/>
  <c r="I581" i="1"/>
  <c r="I582" i="1"/>
  <c r="I583" i="1"/>
  <c r="I591" i="1"/>
  <c r="I592" i="1"/>
  <c r="I593" i="1"/>
  <c r="I594" i="1"/>
  <c r="I595" i="1"/>
  <c r="I596" i="1"/>
  <c r="I597" i="1"/>
  <c r="I603" i="1"/>
  <c r="I605" i="1"/>
  <c r="I606" i="1"/>
  <c r="I607" i="1"/>
  <c r="I608" i="1"/>
  <c r="I609" i="1"/>
  <c r="I610" i="1"/>
  <c r="I611" i="1"/>
  <c r="I612" i="1"/>
  <c r="I613" i="1"/>
  <c r="I614" i="1"/>
  <c r="I615" i="1"/>
  <c r="I623" i="1"/>
  <c r="I624" i="1"/>
  <c r="I625" i="1"/>
  <c r="I626" i="1"/>
  <c r="I627" i="1"/>
  <c r="I628" i="1"/>
  <c r="I629" i="1"/>
  <c r="I635" i="1"/>
  <c r="I637" i="1"/>
  <c r="I638" i="1"/>
  <c r="I639" i="1"/>
  <c r="I640" i="1"/>
  <c r="I641" i="1"/>
  <c r="I642" i="1"/>
  <c r="I643" i="1"/>
  <c r="I644" i="1"/>
  <c r="I645" i="1"/>
  <c r="I646" i="1"/>
  <c r="I647" i="1"/>
  <c r="I655" i="1"/>
  <c r="I656" i="1"/>
  <c r="I657" i="1"/>
  <c r="I658" i="1"/>
  <c r="I659" i="1"/>
  <c r="I660" i="1"/>
  <c r="I661" i="1"/>
  <c r="I667" i="1"/>
  <c r="I669" i="1"/>
  <c r="I670" i="1"/>
  <c r="I671" i="1"/>
  <c r="I672" i="1"/>
  <c r="I673" i="1"/>
  <c r="I674" i="1"/>
  <c r="I675" i="1"/>
  <c r="I676" i="1"/>
  <c r="I677" i="1"/>
  <c r="I678" i="1"/>
  <c r="I679" i="1"/>
  <c r="I687" i="1"/>
  <c r="I688" i="1"/>
  <c r="I689" i="1"/>
  <c r="I690" i="1"/>
  <c r="I691" i="1"/>
  <c r="I692" i="1"/>
  <c r="I693" i="1"/>
  <c r="I699" i="1"/>
  <c r="I701" i="1"/>
  <c r="I702" i="1"/>
  <c r="I703" i="1"/>
  <c r="I704" i="1"/>
  <c r="I705" i="1"/>
  <c r="I706" i="1"/>
  <c r="I707" i="1"/>
  <c r="I708" i="1"/>
  <c r="I709" i="1"/>
  <c r="I710" i="1"/>
  <c r="I711" i="1"/>
  <c r="I719" i="1"/>
  <c r="I720" i="1"/>
  <c r="I721" i="1"/>
  <c r="I722" i="1"/>
  <c r="I723" i="1"/>
  <c r="I724" i="1"/>
  <c r="I725" i="1"/>
  <c r="I731" i="1"/>
  <c r="I733" i="1"/>
  <c r="I734" i="1"/>
  <c r="I735" i="1"/>
  <c r="I736" i="1"/>
  <c r="I737" i="1"/>
  <c r="I738" i="1"/>
  <c r="I739" i="1"/>
  <c r="I740" i="1"/>
  <c r="I741" i="1"/>
  <c r="I742" i="1"/>
  <c r="I743" i="1"/>
  <c r="I751" i="1"/>
  <c r="I752" i="1"/>
  <c r="I753" i="1"/>
  <c r="I754" i="1"/>
  <c r="I755" i="1"/>
  <c r="I756" i="1"/>
  <c r="I757" i="1"/>
  <c r="I763" i="1"/>
  <c r="I765" i="1"/>
  <c r="I766" i="1"/>
  <c r="I767" i="1"/>
  <c r="I768" i="1"/>
  <c r="I769" i="1"/>
  <c r="I770" i="1"/>
  <c r="I771" i="1"/>
  <c r="I772" i="1"/>
  <c r="I773" i="1"/>
  <c r="I774" i="1"/>
  <c r="I775" i="1"/>
  <c r="I783" i="1"/>
  <c r="I784" i="1"/>
  <c r="I785" i="1"/>
  <c r="I786" i="1"/>
  <c r="I787" i="1"/>
  <c r="I788" i="1"/>
  <c r="I789" i="1"/>
  <c r="I795" i="1"/>
  <c r="I797" i="1"/>
  <c r="I798" i="1"/>
  <c r="I799" i="1"/>
  <c r="I800" i="1"/>
  <c r="I801" i="1"/>
  <c r="I802" i="1"/>
  <c r="I803" i="1"/>
  <c r="I804" i="1"/>
  <c r="I805" i="1"/>
  <c r="I806" i="1"/>
  <c r="I807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J477" i="1" s="1"/>
  <c r="K477" i="1" s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2" i="1"/>
  <c r="J486" i="1" l="1"/>
  <c r="K486" i="1" s="1"/>
  <c r="J806" i="1"/>
  <c r="K806" i="1" s="1"/>
  <c r="J802" i="1"/>
  <c r="K802" i="1" s="1"/>
  <c r="J798" i="1"/>
  <c r="K798" i="1" s="1"/>
  <c r="J788" i="1"/>
  <c r="K788" i="1" s="1"/>
  <c r="J784" i="1"/>
  <c r="K784" i="1" s="1"/>
  <c r="J773" i="1"/>
  <c r="K773" i="1" s="1"/>
  <c r="J769" i="1"/>
  <c r="K769" i="1" s="1"/>
  <c r="J765" i="1"/>
  <c r="K765" i="1" s="1"/>
  <c r="J755" i="1"/>
  <c r="K755" i="1" s="1"/>
  <c r="J751" i="1"/>
  <c r="K751" i="1" s="1"/>
  <c r="J740" i="1"/>
  <c r="K740" i="1" s="1"/>
  <c r="J736" i="1"/>
  <c r="K736" i="1" s="1"/>
  <c r="J731" i="1"/>
  <c r="K731" i="1" s="1"/>
  <c r="J722" i="1"/>
  <c r="K722" i="1" s="1"/>
  <c r="J711" i="1"/>
  <c r="K711" i="1" s="1"/>
  <c r="J707" i="1"/>
  <c r="K707" i="1" s="1"/>
  <c r="J703" i="1"/>
  <c r="K703" i="1" s="1"/>
  <c r="J693" i="1"/>
  <c r="K693" i="1" s="1"/>
  <c r="J689" i="1"/>
  <c r="K689" i="1" s="1"/>
  <c r="J678" i="1"/>
  <c r="K678" i="1" s="1"/>
  <c r="J674" i="1"/>
  <c r="K674" i="1" s="1"/>
  <c r="J670" i="1"/>
  <c r="K670" i="1" s="1"/>
  <c r="J660" i="1"/>
  <c r="K660" i="1" s="1"/>
  <c r="J656" i="1"/>
  <c r="K656" i="1" s="1"/>
  <c r="J645" i="1"/>
  <c r="K645" i="1" s="1"/>
  <c r="J641" i="1"/>
  <c r="K641" i="1" s="1"/>
  <c r="J637" i="1"/>
  <c r="K637" i="1" s="1"/>
  <c r="J805" i="1"/>
  <c r="K805" i="1" s="1"/>
  <c r="J801" i="1"/>
  <c r="K801" i="1" s="1"/>
  <c r="J797" i="1"/>
  <c r="K797" i="1" s="1"/>
  <c r="J787" i="1"/>
  <c r="K787" i="1" s="1"/>
  <c r="J783" i="1"/>
  <c r="K783" i="1" s="1"/>
  <c r="J772" i="1"/>
  <c r="K772" i="1" s="1"/>
  <c r="J768" i="1"/>
  <c r="K768" i="1" s="1"/>
  <c r="J763" i="1"/>
  <c r="K763" i="1" s="1"/>
  <c r="J754" i="1"/>
  <c r="K754" i="1" s="1"/>
  <c r="J743" i="1"/>
  <c r="K743" i="1" s="1"/>
  <c r="J739" i="1"/>
  <c r="K739" i="1" s="1"/>
  <c r="J735" i="1"/>
  <c r="K735" i="1" s="1"/>
  <c r="J725" i="1"/>
  <c r="K725" i="1" s="1"/>
  <c r="J721" i="1"/>
  <c r="K721" i="1" s="1"/>
  <c r="J710" i="1"/>
  <c r="K710" i="1" s="1"/>
  <c r="J706" i="1"/>
  <c r="K706" i="1" s="1"/>
  <c r="J702" i="1"/>
  <c r="K702" i="1" s="1"/>
  <c r="J692" i="1"/>
  <c r="K692" i="1" s="1"/>
  <c r="J688" i="1"/>
  <c r="K688" i="1" s="1"/>
  <c r="J677" i="1"/>
  <c r="K677" i="1" s="1"/>
  <c r="J673" i="1"/>
  <c r="K673" i="1" s="1"/>
  <c r="J669" i="1"/>
  <c r="K669" i="1" s="1"/>
  <c r="J659" i="1"/>
  <c r="K659" i="1" s="1"/>
  <c r="J655" i="1"/>
  <c r="K655" i="1" s="1"/>
  <c r="J644" i="1"/>
  <c r="K644" i="1" s="1"/>
  <c r="J640" i="1"/>
  <c r="K640" i="1" s="1"/>
  <c r="J2" i="1"/>
  <c r="K2" i="1" s="1"/>
  <c r="J804" i="1"/>
  <c r="K804" i="1" s="1"/>
  <c r="J800" i="1"/>
  <c r="K800" i="1" s="1"/>
  <c r="J795" i="1"/>
  <c r="K795" i="1" s="1"/>
  <c r="J786" i="1"/>
  <c r="K786" i="1" s="1"/>
  <c r="J775" i="1"/>
  <c r="K775" i="1" s="1"/>
  <c r="J771" i="1"/>
  <c r="K771" i="1" s="1"/>
  <c r="J767" i="1"/>
  <c r="K767" i="1" s="1"/>
  <c r="J757" i="1"/>
  <c r="K757" i="1" s="1"/>
  <c r="J753" i="1"/>
  <c r="K753" i="1" s="1"/>
  <c r="J742" i="1"/>
  <c r="K742" i="1" s="1"/>
  <c r="J738" i="1"/>
  <c r="K738" i="1" s="1"/>
  <c r="J734" i="1"/>
  <c r="K734" i="1" s="1"/>
  <c r="J724" i="1"/>
  <c r="K724" i="1" s="1"/>
  <c r="J720" i="1"/>
  <c r="K720" i="1" s="1"/>
  <c r="J709" i="1"/>
  <c r="K709" i="1" s="1"/>
  <c r="J705" i="1"/>
  <c r="K705" i="1" s="1"/>
  <c r="J701" i="1"/>
  <c r="K701" i="1" s="1"/>
  <c r="J691" i="1"/>
  <c r="K691" i="1" s="1"/>
  <c r="J687" i="1"/>
  <c r="K687" i="1" s="1"/>
  <c r="J676" i="1"/>
  <c r="K676" i="1" s="1"/>
  <c r="J672" i="1"/>
  <c r="K672" i="1" s="1"/>
  <c r="J667" i="1"/>
  <c r="K667" i="1" s="1"/>
  <c r="J658" i="1"/>
  <c r="K658" i="1" s="1"/>
  <c r="J647" i="1"/>
  <c r="K647" i="1" s="1"/>
  <c r="J643" i="1"/>
  <c r="K643" i="1" s="1"/>
  <c r="J639" i="1"/>
  <c r="K639" i="1" s="1"/>
  <c r="J807" i="1"/>
  <c r="K807" i="1" s="1"/>
  <c r="J803" i="1"/>
  <c r="K803" i="1" s="1"/>
  <c r="J799" i="1"/>
  <c r="K799" i="1" s="1"/>
  <c r="J789" i="1"/>
  <c r="K789" i="1" s="1"/>
  <c r="J785" i="1"/>
  <c r="K785" i="1" s="1"/>
  <c r="J774" i="1"/>
  <c r="K774" i="1" s="1"/>
  <c r="J770" i="1"/>
  <c r="K770" i="1" s="1"/>
  <c r="J766" i="1"/>
  <c r="K766" i="1" s="1"/>
  <c r="J756" i="1"/>
  <c r="K756" i="1" s="1"/>
  <c r="J752" i="1"/>
  <c r="K752" i="1" s="1"/>
  <c r="J741" i="1"/>
  <c r="K741" i="1" s="1"/>
  <c r="J737" i="1"/>
  <c r="K737" i="1" s="1"/>
  <c r="J733" i="1"/>
  <c r="K733" i="1" s="1"/>
  <c r="J723" i="1"/>
  <c r="K723" i="1" s="1"/>
  <c r="J719" i="1"/>
  <c r="K719" i="1" s="1"/>
  <c r="J708" i="1"/>
  <c r="K708" i="1" s="1"/>
  <c r="J704" i="1"/>
  <c r="K704" i="1" s="1"/>
  <c r="J699" i="1"/>
  <c r="K699" i="1" s="1"/>
  <c r="J690" i="1"/>
  <c r="K690" i="1" s="1"/>
  <c r="J679" i="1"/>
  <c r="K679" i="1" s="1"/>
  <c r="J675" i="1"/>
  <c r="K675" i="1" s="1"/>
  <c r="J671" i="1"/>
  <c r="K671" i="1" s="1"/>
  <c r="J661" i="1"/>
  <c r="K661" i="1" s="1"/>
  <c r="J657" i="1"/>
  <c r="K657" i="1" s="1"/>
  <c r="J646" i="1"/>
  <c r="K646" i="1" s="1"/>
  <c r="J642" i="1"/>
  <c r="K642" i="1" s="1"/>
  <c r="J638" i="1"/>
  <c r="K638" i="1" s="1"/>
  <c r="J627" i="1"/>
  <c r="K627" i="1" s="1"/>
  <c r="J623" i="1"/>
  <c r="K623" i="1" s="1"/>
  <c r="J612" i="1"/>
  <c r="K612" i="1" s="1"/>
  <c r="J608" i="1"/>
  <c r="K608" i="1" s="1"/>
  <c r="J603" i="1"/>
  <c r="K603" i="1" s="1"/>
  <c r="J594" i="1"/>
  <c r="K594" i="1" s="1"/>
  <c r="J583" i="1"/>
  <c r="K583" i="1" s="1"/>
  <c r="J579" i="1"/>
  <c r="K579" i="1" s="1"/>
  <c r="J575" i="1"/>
  <c r="K575" i="1" s="1"/>
  <c r="J565" i="1"/>
  <c r="K565" i="1" s="1"/>
  <c r="J561" i="1"/>
  <c r="K561" i="1" s="1"/>
  <c r="J550" i="1"/>
  <c r="K550" i="1" s="1"/>
  <c r="J546" i="1"/>
  <c r="K546" i="1" s="1"/>
  <c r="J542" i="1"/>
  <c r="K542" i="1" s="1"/>
  <c r="J532" i="1"/>
  <c r="K532" i="1" s="1"/>
  <c r="J528" i="1"/>
  <c r="K528" i="1" s="1"/>
  <c r="J517" i="1"/>
  <c r="K517" i="1" s="1"/>
  <c r="J513" i="1"/>
  <c r="K513" i="1" s="1"/>
  <c r="J509" i="1"/>
  <c r="K509" i="1" s="1"/>
  <c r="J499" i="1"/>
  <c r="K499" i="1" s="1"/>
  <c r="J495" i="1"/>
  <c r="K495" i="1" s="1"/>
  <c r="J491" i="1"/>
  <c r="K491" i="1" s="1"/>
  <c r="J487" i="1"/>
  <c r="K487" i="1" s="1"/>
  <c r="J483" i="1"/>
  <c r="K483" i="1" s="1"/>
  <c r="J479" i="1"/>
  <c r="K479" i="1" s="1"/>
  <c r="J475" i="1"/>
  <c r="K475" i="1" s="1"/>
  <c r="J471" i="1"/>
  <c r="K471" i="1" s="1"/>
  <c r="J467" i="1"/>
  <c r="K467" i="1" s="1"/>
  <c r="J463" i="1"/>
  <c r="K463" i="1" s="1"/>
  <c r="J459" i="1"/>
  <c r="K459" i="1" s="1"/>
  <c r="J455" i="1"/>
  <c r="K455" i="1" s="1"/>
  <c r="J451" i="1"/>
  <c r="K451" i="1" s="1"/>
  <c r="J447" i="1"/>
  <c r="K447" i="1" s="1"/>
  <c r="J443" i="1"/>
  <c r="K443" i="1" s="1"/>
  <c r="J439" i="1"/>
  <c r="K439" i="1" s="1"/>
  <c r="J435" i="1"/>
  <c r="K435" i="1" s="1"/>
  <c r="J431" i="1"/>
  <c r="K431" i="1" s="1"/>
  <c r="J427" i="1"/>
  <c r="K427" i="1" s="1"/>
  <c r="J423" i="1"/>
  <c r="K423" i="1" s="1"/>
  <c r="J419" i="1"/>
  <c r="K419" i="1" s="1"/>
  <c r="J415" i="1"/>
  <c r="K415" i="1" s="1"/>
  <c r="J411" i="1"/>
  <c r="K411" i="1" s="1"/>
  <c r="J407" i="1"/>
  <c r="K407" i="1" s="1"/>
  <c r="J403" i="1"/>
  <c r="K403" i="1" s="1"/>
  <c r="J399" i="1"/>
  <c r="K399" i="1" s="1"/>
  <c r="J395" i="1"/>
  <c r="K395" i="1" s="1"/>
  <c r="J391" i="1"/>
  <c r="K391" i="1" s="1"/>
  <c r="J387" i="1"/>
  <c r="K387" i="1" s="1"/>
  <c r="J383" i="1"/>
  <c r="K383" i="1" s="1"/>
  <c r="J379" i="1"/>
  <c r="K379" i="1" s="1"/>
  <c r="J375" i="1"/>
  <c r="K375" i="1" s="1"/>
  <c r="J371" i="1"/>
  <c r="K371" i="1" s="1"/>
  <c r="J367" i="1"/>
  <c r="K367" i="1" s="1"/>
  <c r="J363" i="1"/>
  <c r="K363" i="1" s="1"/>
  <c r="J359" i="1"/>
  <c r="K359" i="1" s="1"/>
  <c r="J355" i="1"/>
  <c r="K355" i="1" s="1"/>
  <c r="J351" i="1"/>
  <c r="K351" i="1" s="1"/>
  <c r="J347" i="1"/>
  <c r="K347" i="1" s="1"/>
  <c r="J343" i="1"/>
  <c r="K343" i="1" s="1"/>
  <c r="J339" i="1"/>
  <c r="K339" i="1" s="1"/>
  <c r="J335" i="1"/>
  <c r="K335" i="1" s="1"/>
  <c r="J331" i="1"/>
  <c r="K331" i="1" s="1"/>
  <c r="J327" i="1"/>
  <c r="K327" i="1" s="1"/>
  <c r="J323" i="1"/>
  <c r="K323" i="1" s="1"/>
  <c r="J319" i="1"/>
  <c r="K319" i="1" s="1"/>
  <c r="J315" i="1"/>
  <c r="K315" i="1" s="1"/>
  <c r="J311" i="1"/>
  <c r="K311" i="1" s="1"/>
  <c r="J307" i="1"/>
  <c r="K307" i="1" s="1"/>
  <c r="J303" i="1"/>
  <c r="K303" i="1" s="1"/>
  <c r="J299" i="1"/>
  <c r="K299" i="1" s="1"/>
  <c r="J295" i="1"/>
  <c r="K295" i="1" s="1"/>
  <c r="J291" i="1"/>
  <c r="K291" i="1" s="1"/>
  <c r="J287" i="1"/>
  <c r="K287" i="1" s="1"/>
  <c r="J283" i="1"/>
  <c r="K283" i="1" s="1"/>
  <c r="J279" i="1"/>
  <c r="K279" i="1" s="1"/>
  <c r="J275" i="1"/>
  <c r="K275" i="1" s="1"/>
  <c r="J271" i="1"/>
  <c r="K271" i="1" s="1"/>
  <c r="J267" i="1"/>
  <c r="K267" i="1" s="1"/>
  <c r="J263" i="1"/>
  <c r="K263" i="1" s="1"/>
  <c r="J259" i="1"/>
  <c r="K259" i="1" s="1"/>
  <c r="J255" i="1"/>
  <c r="K255" i="1" s="1"/>
  <c r="J251" i="1"/>
  <c r="K251" i="1" s="1"/>
  <c r="J247" i="1"/>
  <c r="K247" i="1" s="1"/>
  <c r="J243" i="1"/>
  <c r="K243" i="1" s="1"/>
  <c r="J239" i="1"/>
  <c r="K239" i="1" s="1"/>
  <c r="J635" i="1"/>
  <c r="K635" i="1" s="1"/>
  <c r="J626" i="1"/>
  <c r="K626" i="1" s="1"/>
  <c r="J615" i="1"/>
  <c r="K615" i="1" s="1"/>
  <c r="J611" i="1"/>
  <c r="K611" i="1" s="1"/>
  <c r="J607" i="1"/>
  <c r="K607" i="1" s="1"/>
  <c r="J597" i="1"/>
  <c r="K597" i="1" s="1"/>
  <c r="J593" i="1"/>
  <c r="K593" i="1" s="1"/>
  <c r="J582" i="1"/>
  <c r="K582" i="1" s="1"/>
  <c r="J578" i="1"/>
  <c r="K578" i="1" s="1"/>
  <c r="J574" i="1"/>
  <c r="K574" i="1" s="1"/>
  <c r="J564" i="1"/>
  <c r="K564" i="1" s="1"/>
  <c r="J560" i="1"/>
  <c r="K560" i="1" s="1"/>
  <c r="J549" i="1"/>
  <c r="K549" i="1" s="1"/>
  <c r="J545" i="1"/>
  <c r="K545" i="1" s="1"/>
  <c r="J541" i="1"/>
  <c r="K541" i="1" s="1"/>
  <c r="J531" i="1"/>
  <c r="K531" i="1" s="1"/>
  <c r="J527" i="1"/>
  <c r="K527" i="1" s="1"/>
  <c r="J516" i="1"/>
  <c r="K516" i="1" s="1"/>
  <c r="J512" i="1"/>
  <c r="K512" i="1" s="1"/>
  <c r="J507" i="1"/>
  <c r="K507" i="1" s="1"/>
  <c r="J498" i="1"/>
  <c r="K498" i="1" s="1"/>
  <c r="J494" i="1"/>
  <c r="K494" i="1" s="1"/>
  <c r="J490" i="1"/>
  <c r="K490" i="1" s="1"/>
  <c r="J482" i="1"/>
  <c r="K482" i="1" s="1"/>
  <c r="J478" i="1"/>
  <c r="K478" i="1" s="1"/>
  <c r="J474" i="1"/>
  <c r="K474" i="1" s="1"/>
  <c r="J470" i="1"/>
  <c r="K470" i="1" s="1"/>
  <c r="J466" i="1"/>
  <c r="K466" i="1" s="1"/>
  <c r="J462" i="1"/>
  <c r="K462" i="1" s="1"/>
  <c r="J458" i="1"/>
  <c r="K458" i="1" s="1"/>
  <c r="J454" i="1"/>
  <c r="K454" i="1" s="1"/>
  <c r="J450" i="1"/>
  <c r="K450" i="1" s="1"/>
  <c r="J446" i="1"/>
  <c r="K446" i="1" s="1"/>
  <c r="J442" i="1"/>
  <c r="K442" i="1" s="1"/>
  <c r="J438" i="1"/>
  <c r="K438" i="1" s="1"/>
  <c r="J434" i="1"/>
  <c r="K434" i="1" s="1"/>
  <c r="J430" i="1"/>
  <c r="K430" i="1" s="1"/>
  <c r="J426" i="1"/>
  <c r="K426" i="1" s="1"/>
  <c r="J422" i="1"/>
  <c r="K422" i="1" s="1"/>
  <c r="J418" i="1"/>
  <c r="K418" i="1" s="1"/>
  <c r="J414" i="1"/>
  <c r="K414" i="1" s="1"/>
  <c r="J410" i="1"/>
  <c r="K410" i="1" s="1"/>
  <c r="J406" i="1"/>
  <c r="K406" i="1" s="1"/>
  <c r="J402" i="1"/>
  <c r="K402" i="1" s="1"/>
  <c r="J398" i="1"/>
  <c r="K398" i="1" s="1"/>
  <c r="J394" i="1"/>
  <c r="K394" i="1" s="1"/>
  <c r="J390" i="1"/>
  <c r="K390" i="1" s="1"/>
  <c r="J386" i="1"/>
  <c r="K386" i="1" s="1"/>
  <c r="J382" i="1"/>
  <c r="K382" i="1" s="1"/>
  <c r="J378" i="1"/>
  <c r="K378" i="1" s="1"/>
  <c r="J374" i="1"/>
  <c r="K374" i="1" s="1"/>
  <c r="J370" i="1"/>
  <c r="K370" i="1" s="1"/>
  <c r="J366" i="1"/>
  <c r="K366" i="1" s="1"/>
  <c r="J362" i="1"/>
  <c r="K362" i="1" s="1"/>
  <c r="J358" i="1"/>
  <c r="K358" i="1" s="1"/>
  <c r="J354" i="1"/>
  <c r="K354" i="1" s="1"/>
  <c r="J350" i="1"/>
  <c r="K350" i="1" s="1"/>
  <c r="J346" i="1"/>
  <c r="K346" i="1" s="1"/>
  <c r="J342" i="1"/>
  <c r="K342" i="1" s="1"/>
  <c r="J338" i="1"/>
  <c r="K338" i="1" s="1"/>
  <c r="J334" i="1"/>
  <c r="K334" i="1" s="1"/>
  <c r="J330" i="1"/>
  <c r="K330" i="1" s="1"/>
  <c r="J326" i="1"/>
  <c r="K326" i="1" s="1"/>
  <c r="J322" i="1"/>
  <c r="K322" i="1" s="1"/>
  <c r="J318" i="1"/>
  <c r="K318" i="1" s="1"/>
  <c r="J314" i="1"/>
  <c r="K314" i="1" s="1"/>
  <c r="J310" i="1"/>
  <c r="K310" i="1" s="1"/>
  <c r="J306" i="1"/>
  <c r="K306" i="1" s="1"/>
  <c r="J302" i="1"/>
  <c r="K302" i="1" s="1"/>
  <c r="J298" i="1"/>
  <c r="K298" i="1" s="1"/>
  <c r="J294" i="1"/>
  <c r="K294" i="1" s="1"/>
  <c r="J290" i="1"/>
  <c r="K290" i="1" s="1"/>
  <c r="J286" i="1"/>
  <c r="K286" i="1" s="1"/>
  <c r="J282" i="1"/>
  <c r="K282" i="1" s="1"/>
  <c r="J278" i="1"/>
  <c r="K278" i="1" s="1"/>
  <c r="J274" i="1"/>
  <c r="K274" i="1" s="1"/>
  <c r="J270" i="1"/>
  <c r="K270" i="1" s="1"/>
  <c r="J266" i="1"/>
  <c r="K266" i="1" s="1"/>
  <c r="J262" i="1"/>
  <c r="K262" i="1" s="1"/>
  <c r="J258" i="1"/>
  <c r="K258" i="1" s="1"/>
  <c r="J254" i="1"/>
  <c r="K254" i="1" s="1"/>
  <c r="J250" i="1"/>
  <c r="K250" i="1" s="1"/>
  <c r="J246" i="1"/>
  <c r="K246" i="1" s="1"/>
  <c r="J242" i="1"/>
  <c r="K242" i="1" s="1"/>
  <c r="J238" i="1"/>
  <c r="K238" i="1" s="1"/>
  <c r="J234" i="1"/>
  <c r="K234" i="1" s="1"/>
  <c r="J230" i="1"/>
  <c r="K230" i="1" s="1"/>
  <c r="J629" i="1"/>
  <c r="K629" i="1" s="1"/>
  <c r="J625" i="1"/>
  <c r="K625" i="1" s="1"/>
  <c r="J614" i="1"/>
  <c r="K614" i="1" s="1"/>
  <c r="J610" i="1"/>
  <c r="K610" i="1" s="1"/>
  <c r="J606" i="1"/>
  <c r="K606" i="1" s="1"/>
  <c r="J596" i="1"/>
  <c r="K596" i="1" s="1"/>
  <c r="J592" i="1"/>
  <c r="K592" i="1" s="1"/>
  <c r="J581" i="1"/>
  <c r="K581" i="1" s="1"/>
  <c r="J577" i="1"/>
  <c r="K577" i="1" s="1"/>
  <c r="J573" i="1"/>
  <c r="K573" i="1" s="1"/>
  <c r="J563" i="1"/>
  <c r="K563" i="1" s="1"/>
  <c r="J559" i="1"/>
  <c r="K559" i="1" s="1"/>
  <c r="J548" i="1"/>
  <c r="K548" i="1" s="1"/>
  <c r="J544" i="1"/>
  <c r="K544" i="1" s="1"/>
  <c r="J539" i="1"/>
  <c r="K539" i="1" s="1"/>
  <c r="J530" i="1"/>
  <c r="K530" i="1" s="1"/>
  <c r="J519" i="1"/>
  <c r="K519" i="1" s="1"/>
  <c r="J515" i="1"/>
  <c r="K515" i="1" s="1"/>
  <c r="J511" i="1"/>
  <c r="K511" i="1" s="1"/>
  <c r="J501" i="1"/>
  <c r="K501" i="1" s="1"/>
  <c r="J497" i="1"/>
  <c r="K497" i="1" s="1"/>
  <c r="J493" i="1"/>
  <c r="K493" i="1" s="1"/>
  <c r="J489" i="1"/>
  <c r="K489" i="1" s="1"/>
  <c r="J485" i="1"/>
  <c r="K485" i="1" s="1"/>
  <c r="J481" i="1"/>
  <c r="K481" i="1" s="1"/>
  <c r="J473" i="1"/>
  <c r="K473" i="1" s="1"/>
  <c r="J469" i="1"/>
  <c r="K469" i="1" s="1"/>
  <c r="J465" i="1"/>
  <c r="K465" i="1" s="1"/>
  <c r="J461" i="1"/>
  <c r="K461" i="1" s="1"/>
  <c r="J457" i="1"/>
  <c r="K457" i="1" s="1"/>
  <c r="J453" i="1"/>
  <c r="K453" i="1" s="1"/>
  <c r="J449" i="1"/>
  <c r="K449" i="1" s="1"/>
  <c r="J445" i="1"/>
  <c r="K445" i="1" s="1"/>
  <c r="J441" i="1"/>
  <c r="K441" i="1" s="1"/>
  <c r="J437" i="1"/>
  <c r="K437" i="1" s="1"/>
  <c r="J433" i="1"/>
  <c r="K433" i="1" s="1"/>
  <c r="J429" i="1"/>
  <c r="K429" i="1" s="1"/>
  <c r="J425" i="1"/>
  <c r="K425" i="1" s="1"/>
  <c r="J421" i="1"/>
  <c r="K421" i="1" s="1"/>
  <c r="J417" i="1"/>
  <c r="K417" i="1" s="1"/>
  <c r="J413" i="1"/>
  <c r="K413" i="1" s="1"/>
  <c r="J409" i="1"/>
  <c r="K409" i="1" s="1"/>
  <c r="J405" i="1"/>
  <c r="K405" i="1" s="1"/>
  <c r="J401" i="1"/>
  <c r="K401" i="1" s="1"/>
  <c r="J397" i="1"/>
  <c r="K397" i="1" s="1"/>
  <c r="J393" i="1"/>
  <c r="K393" i="1" s="1"/>
  <c r="J389" i="1"/>
  <c r="K389" i="1" s="1"/>
  <c r="J385" i="1"/>
  <c r="K385" i="1" s="1"/>
  <c r="J381" i="1"/>
  <c r="K381" i="1" s="1"/>
  <c r="J377" i="1"/>
  <c r="K377" i="1" s="1"/>
  <c r="J373" i="1"/>
  <c r="K373" i="1" s="1"/>
  <c r="J369" i="1"/>
  <c r="K369" i="1" s="1"/>
  <c r="J365" i="1"/>
  <c r="K365" i="1" s="1"/>
  <c r="J361" i="1"/>
  <c r="K361" i="1" s="1"/>
  <c r="J357" i="1"/>
  <c r="K357" i="1" s="1"/>
  <c r="J353" i="1"/>
  <c r="K353" i="1" s="1"/>
  <c r="J349" i="1"/>
  <c r="K349" i="1" s="1"/>
  <c r="J345" i="1"/>
  <c r="K345" i="1" s="1"/>
  <c r="J341" i="1"/>
  <c r="K341" i="1" s="1"/>
  <c r="J337" i="1"/>
  <c r="K337" i="1" s="1"/>
  <c r="J333" i="1"/>
  <c r="K333" i="1" s="1"/>
  <c r="J329" i="1"/>
  <c r="K329" i="1" s="1"/>
  <c r="J325" i="1"/>
  <c r="K325" i="1" s="1"/>
  <c r="J321" i="1"/>
  <c r="K321" i="1" s="1"/>
  <c r="J317" i="1"/>
  <c r="K317" i="1" s="1"/>
  <c r="J313" i="1"/>
  <c r="K313" i="1" s="1"/>
  <c r="J309" i="1"/>
  <c r="K309" i="1" s="1"/>
  <c r="J305" i="1"/>
  <c r="K305" i="1" s="1"/>
  <c r="J301" i="1"/>
  <c r="K301" i="1" s="1"/>
  <c r="J297" i="1"/>
  <c r="K297" i="1" s="1"/>
  <c r="J293" i="1"/>
  <c r="K293" i="1" s="1"/>
  <c r="J289" i="1"/>
  <c r="K289" i="1" s="1"/>
  <c r="J285" i="1"/>
  <c r="K285" i="1" s="1"/>
  <c r="J281" i="1"/>
  <c r="K281" i="1" s="1"/>
  <c r="J277" i="1"/>
  <c r="K277" i="1" s="1"/>
  <c r="J273" i="1"/>
  <c r="K273" i="1" s="1"/>
  <c r="J269" i="1"/>
  <c r="K269" i="1" s="1"/>
  <c r="J265" i="1"/>
  <c r="K265" i="1" s="1"/>
  <c r="J261" i="1"/>
  <c r="K261" i="1" s="1"/>
  <c r="J257" i="1"/>
  <c r="K257" i="1" s="1"/>
  <c r="J253" i="1"/>
  <c r="K253" i="1" s="1"/>
  <c r="J249" i="1"/>
  <c r="K249" i="1" s="1"/>
  <c r="J245" i="1"/>
  <c r="K245" i="1" s="1"/>
  <c r="J241" i="1"/>
  <c r="K241" i="1" s="1"/>
  <c r="J237" i="1"/>
  <c r="K237" i="1" s="1"/>
  <c r="J233" i="1"/>
  <c r="K233" i="1" s="1"/>
  <c r="J229" i="1"/>
  <c r="K229" i="1" s="1"/>
  <c r="J628" i="1"/>
  <c r="K628" i="1" s="1"/>
  <c r="J624" i="1"/>
  <c r="K624" i="1" s="1"/>
  <c r="J613" i="1"/>
  <c r="K613" i="1" s="1"/>
  <c r="J609" i="1"/>
  <c r="K609" i="1" s="1"/>
  <c r="J605" i="1"/>
  <c r="K605" i="1" s="1"/>
  <c r="J595" i="1"/>
  <c r="K595" i="1" s="1"/>
  <c r="J591" i="1"/>
  <c r="K591" i="1" s="1"/>
  <c r="J580" i="1"/>
  <c r="K580" i="1" s="1"/>
  <c r="J576" i="1"/>
  <c r="K576" i="1" s="1"/>
  <c r="J571" i="1"/>
  <c r="K571" i="1" s="1"/>
  <c r="J562" i="1"/>
  <c r="K562" i="1" s="1"/>
  <c r="J551" i="1"/>
  <c r="K551" i="1" s="1"/>
  <c r="J547" i="1"/>
  <c r="K547" i="1" s="1"/>
  <c r="J543" i="1"/>
  <c r="K543" i="1" s="1"/>
  <c r="J533" i="1"/>
  <c r="K533" i="1" s="1"/>
  <c r="J529" i="1"/>
  <c r="K529" i="1" s="1"/>
  <c r="J518" i="1"/>
  <c r="K518" i="1" s="1"/>
  <c r="J514" i="1"/>
  <c r="K514" i="1" s="1"/>
  <c r="J510" i="1"/>
  <c r="K510" i="1" s="1"/>
  <c r="J500" i="1"/>
  <c r="K500" i="1" s="1"/>
  <c r="J496" i="1"/>
  <c r="K496" i="1" s="1"/>
  <c r="J492" i="1"/>
  <c r="K492" i="1" s="1"/>
  <c r="J488" i="1"/>
  <c r="K488" i="1" s="1"/>
  <c r="J484" i="1"/>
  <c r="K484" i="1" s="1"/>
  <c r="J480" i="1"/>
  <c r="K480" i="1" s="1"/>
  <c r="J476" i="1"/>
  <c r="K476" i="1" s="1"/>
  <c r="J472" i="1"/>
  <c r="K472" i="1" s="1"/>
  <c r="J468" i="1"/>
  <c r="K468" i="1" s="1"/>
  <c r="J464" i="1"/>
  <c r="K464" i="1" s="1"/>
  <c r="J460" i="1"/>
  <c r="K460" i="1" s="1"/>
  <c r="J456" i="1"/>
  <c r="K456" i="1" s="1"/>
  <c r="J452" i="1"/>
  <c r="K452" i="1" s="1"/>
  <c r="J448" i="1"/>
  <c r="K448" i="1" s="1"/>
  <c r="J444" i="1"/>
  <c r="K444" i="1" s="1"/>
  <c r="J440" i="1"/>
  <c r="K440" i="1" s="1"/>
  <c r="J436" i="1"/>
  <c r="K436" i="1" s="1"/>
  <c r="J432" i="1"/>
  <c r="K432" i="1" s="1"/>
  <c r="J428" i="1"/>
  <c r="K428" i="1" s="1"/>
  <c r="J424" i="1"/>
  <c r="K424" i="1" s="1"/>
  <c r="J420" i="1"/>
  <c r="K420" i="1" s="1"/>
  <c r="J416" i="1"/>
  <c r="K416" i="1" s="1"/>
  <c r="J412" i="1"/>
  <c r="K412" i="1" s="1"/>
  <c r="J408" i="1"/>
  <c r="K408" i="1" s="1"/>
  <c r="J404" i="1"/>
  <c r="K404" i="1" s="1"/>
  <c r="J400" i="1"/>
  <c r="K400" i="1" s="1"/>
  <c r="J396" i="1"/>
  <c r="K396" i="1" s="1"/>
  <c r="J392" i="1"/>
  <c r="K392" i="1" s="1"/>
  <c r="J388" i="1"/>
  <c r="K388" i="1" s="1"/>
  <c r="J384" i="1"/>
  <c r="K384" i="1" s="1"/>
  <c r="J380" i="1"/>
  <c r="K380" i="1" s="1"/>
  <c r="J376" i="1"/>
  <c r="K376" i="1" s="1"/>
  <c r="J372" i="1"/>
  <c r="K372" i="1" s="1"/>
  <c r="J368" i="1"/>
  <c r="K368" i="1" s="1"/>
  <c r="J364" i="1"/>
  <c r="K364" i="1" s="1"/>
  <c r="J360" i="1"/>
  <c r="K360" i="1" s="1"/>
  <c r="J356" i="1"/>
  <c r="K356" i="1" s="1"/>
  <c r="J352" i="1"/>
  <c r="K352" i="1" s="1"/>
  <c r="J348" i="1"/>
  <c r="K348" i="1" s="1"/>
  <c r="J344" i="1"/>
  <c r="K344" i="1" s="1"/>
  <c r="J340" i="1"/>
  <c r="K340" i="1" s="1"/>
  <c r="J336" i="1"/>
  <c r="K336" i="1" s="1"/>
  <c r="J332" i="1"/>
  <c r="K332" i="1" s="1"/>
  <c r="J328" i="1"/>
  <c r="K328" i="1" s="1"/>
  <c r="J324" i="1"/>
  <c r="K324" i="1" s="1"/>
  <c r="J320" i="1"/>
  <c r="K320" i="1" s="1"/>
  <c r="J316" i="1"/>
  <c r="K316" i="1" s="1"/>
  <c r="J312" i="1"/>
  <c r="K312" i="1" s="1"/>
  <c r="J308" i="1"/>
  <c r="K308" i="1" s="1"/>
  <c r="J304" i="1"/>
  <c r="K304" i="1" s="1"/>
  <c r="J300" i="1"/>
  <c r="K300" i="1" s="1"/>
  <c r="J296" i="1"/>
  <c r="K296" i="1" s="1"/>
  <c r="J292" i="1"/>
  <c r="K292" i="1" s="1"/>
  <c r="J288" i="1"/>
  <c r="K288" i="1" s="1"/>
  <c r="J284" i="1"/>
  <c r="K284" i="1" s="1"/>
  <c r="J280" i="1"/>
  <c r="K280" i="1" s="1"/>
  <c r="J276" i="1"/>
  <c r="K276" i="1" s="1"/>
  <c r="J272" i="1"/>
  <c r="K272" i="1" s="1"/>
  <c r="J268" i="1"/>
  <c r="K268" i="1" s="1"/>
  <c r="J264" i="1"/>
  <c r="K264" i="1" s="1"/>
  <c r="J260" i="1"/>
  <c r="K260" i="1" s="1"/>
  <c r="J256" i="1"/>
  <c r="K256" i="1" s="1"/>
  <c r="J252" i="1"/>
  <c r="K252" i="1" s="1"/>
  <c r="J248" i="1"/>
  <c r="K248" i="1" s="1"/>
  <c r="J244" i="1"/>
  <c r="K244" i="1" s="1"/>
  <c r="J240" i="1"/>
  <c r="K240" i="1" s="1"/>
  <c r="J225" i="1"/>
  <c r="K225" i="1" s="1"/>
  <c r="J221" i="1"/>
  <c r="K221" i="1" s="1"/>
  <c r="J217" i="1"/>
  <c r="K217" i="1" s="1"/>
  <c r="J213" i="1"/>
  <c r="K213" i="1" s="1"/>
  <c r="J209" i="1"/>
  <c r="K209" i="1" s="1"/>
  <c r="J205" i="1"/>
  <c r="K205" i="1" s="1"/>
  <c r="J201" i="1"/>
  <c r="K201" i="1" s="1"/>
  <c r="J197" i="1"/>
  <c r="K197" i="1" s="1"/>
  <c r="J193" i="1"/>
  <c r="K193" i="1" s="1"/>
  <c r="J189" i="1"/>
  <c r="K189" i="1" s="1"/>
  <c r="J185" i="1"/>
  <c r="K185" i="1" s="1"/>
  <c r="J181" i="1"/>
  <c r="K181" i="1" s="1"/>
  <c r="J177" i="1"/>
  <c r="K177" i="1" s="1"/>
  <c r="J173" i="1"/>
  <c r="K173" i="1" s="1"/>
  <c r="J169" i="1"/>
  <c r="K169" i="1" s="1"/>
  <c r="J165" i="1"/>
  <c r="K165" i="1" s="1"/>
  <c r="J161" i="1"/>
  <c r="K161" i="1" s="1"/>
  <c r="J157" i="1"/>
  <c r="K157" i="1" s="1"/>
  <c r="J153" i="1"/>
  <c r="K153" i="1" s="1"/>
  <c r="J149" i="1"/>
  <c r="K149" i="1" s="1"/>
  <c r="J145" i="1"/>
  <c r="K145" i="1" s="1"/>
  <c r="J141" i="1"/>
  <c r="K141" i="1" s="1"/>
  <c r="J137" i="1"/>
  <c r="K137" i="1" s="1"/>
  <c r="J133" i="1"/>
  <c r="K133" i="1" s="1"/>
  <c r="J129" i="1"/>
  <c r="K129" i="1" s="1"/>
  <c r="J125" i="1"/>
  <c r="K125" i="1" s="1"/>
  <c r="J121" i="1"/>
  <c r="K121" i="1" s="1"/>
  <c r="J117" i="1"/>
  <c r="K117" i="1" s="1"/>
  <c r="J113" i="1"/>
  <c r="K113" i="1" s="1"/>
  <c r="J109" i="1"/>
  <c r="K109" i="1" s="1"/>
  <c r="J105" i="1"/>
  <c r="K105" i="1" s="1"/>
  <c r="J101" i="1"/>
  <c r="K101" i="1" s="1"/>
  <c r="J97" i="1"/>
  <c r="K97" i="1" s="1"/>
  <c r="J93" i="1"/>
  <c r="K93" i="1" s="1"/>
  <c r="J89" i="1"/>
  <c r="K89" i="1" s="1"/>
  <c r="J85" i="1"/>
  <c r="K85" i="1" s="1"/>
  <c r="J81" i="1"/>
  <c r="K81" i="1" s="1"/>
  <c r="J77" i="1"/>
  <c r="K77" i="1" s="1"/>
  <c r="J73" i="1"/>
  <c r="K73" i="1" s="1"/>
  <c r="J69" i="1"/>
  <c r="K69" i="1" s="1"/>
  <c r="J65" i="1"/>
  <c r="K65" i="1" s="1"/>
  <c r="J61" i="1"/>
  <c r="K61" i="1" s="1"/>
  <c r="J57" i="1"/>
  <c r="K57" i="1" s="1"/>
  <c r="J53" i="1"/>
  <c r="K53" i="1" s="1"/>
  <c r="J49" i="1"/>
  <c r="K49" i="1" s="1"/>
  <c r="J45" i="1"/>
  <c r="K45" i="1" s="1"/>
  <c r="J41" i="1"/>
  <c r="K41" i="1" s="1"/>
  <c r="J37" i="1"/>
  <c r="K37" i="1" s="1"/>
  <c r="J33" i="1"/>
  <c r="K33" i="1" s="1"/>
  <c r="J29" i="1"/>
  <c r="K29" i="1" s="1"/>
  <c r="J25" i="1"/>
  <c r="K25" i="1" s="1"/>
  <c r="J21" i="1"/>
  <c r="K21" i="1" s="1"/>
  <c r="J17" i="1"/>
  <c r="K17" i="1" s="1"/>
  <c r="J13" i="1"/>
  <c r="K13" i="1" s="1"/>
  <c r="J9" i="1"/>
  <c r="K9" i="1" s="1"/>
  <c r="J5" i="1"/>
  <c r="K5" i="1" s="1"/>
  <c r="J505" i="1"/>
  <c r="K505" i="1" s="1"/>
  <c r="J522" i="1"/>
  <c r="K522" i="1" s="1"/>
  <c r="J534" i="1"/>
  <c r="K534" i="1" s="1"/>
  <c r="J538" i="1"/>
  <c r="K538" i="1" s="1"/>
  <c r="J554" i="1"/>
  <c r="K554" i="1" s="1"/>
  <c r="J567" i="1"/>
  <c r="K567" i="1" s="1"/>
  <c r="J572" i="1"/>
  <c r="K572" i="1" s="1"/>
  <c r="J587" i="1"/>
  <c r="K587" i="1" s="1"/>
  <c r="J599" i="1"/>
  <c r="K599" i="1" s="1"/>
  <c r="J604" i="1"/>
  <c r="K604" i="1" s="1"/>
  <c r="J630" i="1"/>
  <c r="K630" i="1" s="1"/>
  <c r="J634" i="1"/>
  <c r="K634" i="1" s="1"/>
  <c r="J651" i="1"/>
  <c r="K651" i="1" s="1"/>
  <c r="J664" i="1"/>
  <c r="K664" i="1" s="1"/>
  <c r="J681" i="1"/>
  <c r="K681" i="1" s="1"/>
  <c r="J694" i="1"/>
  <c r="K694" i="1" s="1"/>
  <c r="J698" i="1"/>
  <c r="K698" i="1" s="1"/>
  <c r="J714" i="1"/>
  <c r="K714" i="1" s="1"/>
  <c r="J718" i="1"/>
  <c r="K718" i="1" s="1"/>
  <c r="J729" i="1"/>
  <c r="K729" i="1" s="1"/>
  <c r="J745" i="1"/>
  <c r="K745" i="1" s="1"/>
  <c r="J759" i="1"/>
  <c r="K759" i="1" s="1"/>
  <c r="J764" i="1"/>
  <c r="K764" i="1" s="1"/>
  <c r="J781" i="1"/>
  <c r="K781" i="1" s="1"/>
  <c r="J792" i="1"/>
  <c r="K792" i="1" s="1"/>
  <c r="J236" i="1"/>
  <c r="K236" i="1" s="1"/>
  <c r="J232" i="1"/>
  <c r="K232" i="1" s="1"/>
  <c r="J228" i="1"/>
  <c r="K228" i="1" s="1"/>
  <c r="J224" i="1"/>
  <c r="K224" i="1" s="1"/>
  <c r="J220" i="1"/>
  <c r="K220" i="1" s="1"/>
  <c r="J216" i="1"/>
  <c r="K216" i="1" s="1"/>
  <c r="J212" i="1"/>
  <c r="K212" i="1" s="1"/>
  <c r="J208" i="1"/>
  <c r="K208" i="1" s="1"/>
  <c r="J204" i="1"/>
  <c r="K204" i="1" s="1"/>
  <c r="J200" i="1"/>
  <c r="K200" i="1" s="1"/>
  <c r="J196" i="1"/>
  <c r="K196" i="1" s="1"/>
  <c r="J192" i="1"/>
  <c r="K192" i="1" s="1"/>
  <c r="J188" i="1"/>
  <c r="K188" i="1" s="1"/>
  <c r="J184" i="1"/>
  <c r="K184" i="1" s="1"/>
  <c r="J180" i="1"/>
  <c r="K180" i="1" s="1"/>
  <c r="J176" i="1"/>
  <c r="K176" i="1" s="1"/>
  <c r="J172" i="1"/>
  <c r="K172" i="1" s="1"/>
  <c r="J168" i="1"/>
  <c r="K168" i="1" s="1"/>
  <c r="J164" i="1"/>
  <c r="K164" i="1" s="1"/>
  <c r="J160" i="1"/>
  <c r="K160" i="1" s="1"/>
  <c r="J156" i="1"/>
  <c r="K156" i="1" s="1"/>
  <c r="J152" i="1"/>
  <c r="K152" i="1" s="1"/>
  <c r="J148" i="1"/>
  <c r="K148" i="1" s="1"/>
  <c r="J144" i="1"/>
  <c r="K144" i="1" s="1"/>
  <c r="J140" i="1"/>
  <c r="K140" i="1" s="1"/>
  <c r="J136" i="1"/>
  <c r="K136" i="1" s="1"/>
  <c r="J132" i="1"/>
  <c r="K132" i="1" s="1"/>
  <c r="J128" i="1"/>
  <c r="K128" i="1" s="1"/>
  <c r="J124" i="1"/>
  <c r="K124" i="1" s="1"/>
  <c r="J120" i="1"/>
  <c r="K120" i="1" s="1"/>
  <c r="J116" i="1"/>
  <c r="K116" i="1" s="1"/>
  <c r="J112" i="1"/>
  <c r="K112" i="1" s="1"/>
  <c r="J108" i="1"/>
  <c r="K108" i="1" s="1"/>
  <c r="J104" i="1"/>
  <c r="K104" i="1" s="1"/>
  <c r="J100" i="1"/>
  <c r="K100" i="1" s="1"/>
  <c r="J96" i="1"/>
  <c r="K96" i="1" s="1"/>
  <c r="J92" i="1"/>
  <c r="K92" i="1" s="1"/>
  <c r="J88" i="1"/>
  <c r="K88" i="1" s="1"/>
  <c r="J84" i="1"/>
  <c r="K84" i="1" s="1"/>
  <c r="J80" i="1"/>
  <c r="K80" i="1" s="1"/>
  <c r="J76" i="1"/>
  <c r="K76" i="1" s="1"/>
  <c r="J72" i="1"/>
  <c r="K72" i="1" s="1"/>
  <c r="J68" i="1"/>
  <c r="K68" i="1" s="1"/>
  <c r="J64" i="1"/>
  <c r="K64" i="1" s="1"/>
  <c r="J60" i="1"/>
  <c r="K60" i="1" s="1"/>
  <c r="J56" i="1"/>
  <c r="K56" i="1" s="1"/>
  <c r="J52" i="1"/>
  <c r="K52" i="1" s="1"/>
  <c r="J48" i="1"/>
  <c r="K48" i="1" s="1"/>
  <c r="J44" i="1"/>
  <c r="K44" i="1" s="1"/>
  <c r="J40" i="1"/>
  <c r="K40" i="1" s="1"/>
  <c r="J36" i="1"/>
  <c r="K36" i="1" s="1"/>
  <c r="J32" i="1"/>
  <c r="K32" i="1" s="1"/>
  <c r="J28" i="1"/>
  <c r="K28" i="1" s="1"/>
  <c r="J24" i="1"/>
  <c r="K24" i="1" s="1"/>
  <c r="J20" i="1"/>
  <c r="K20" i="1" s="1"/>
  <c r="J16" i="1"/>
  <c r="K16" i="1" s="1"/>
  <c r="J12" i="1"/>
  <c r="K12" i="1" s="1"/>
  <c r="J8" i="1"/>
  <c r="K8" i="1" s="1"/>
  <c r="J4" i="1"/>
  <c r="K4" i="1" s="1"/>
  <c r="J502" i="1"/>
  <c r="K502" i="1" s="1"/>
  <c r="J506" i="1"/>
  <c r="K506" i="1" s="1"/>
  <c r="J524" i="1"/>
  <c r="K524" i="1" s="1"/>
  <c r="J535" i="1"/>
  <c r="K535" i="1" s="1"/>
  <c r="J540" i="1"/>
  <c r="K540" i="1" s="1"/>
  <c r="J555" i="1"/>
  <c r="K555" i="1" s="1"/>
  <c r="J568" i="1"/>
  <c r="K568" i="1" s="1"/>
  <c r="J584" i="1"/>
  <c r="K584" i="1" s="1"/>
  <c r="J589" i="1"/>
  <c r="K589" i="1" s="1"/>
  <c r="J600" i="1"/>
  <c r="K600" i="1" s="1"/>
  <c r="J618" i="1"/>
  <c r="K618" i="1" s="1"/>
  <c r="J631" i="1"/>
  <c r="K631" i="1" s="1"/>
  <c r="J636" i="1"/>
  <c r="K636" i="1" s="1"/>
  <c r="J653" i="1"/>
  <c r="K653" i="1" s="1"/>
  <c r="J665" i="1"/>
  <c r="K665" i="1" s="1"/>
  <c r="J682" i="1"/>
  <c r="K682" i="1" s="1"/>
  <c r="J695" i="1"/>
  <c r="K695" i="1" s="1"/>
  <c r="J700" i="1"/>
  <c r="K700" i="1" s="1"/>
  <c r="J715" i="1"/>
  <c r="K715" i="1" s="1"/>
  <c r="J726" i="1"/>
  <c r="K726" i="1" s="1"/>
  <c r="J730" i="1"/>
  <c r="K730" i="1" s="1"/>
  <c r="J747" i="1"/>
  <c r="K747" i="1" s="1"/>
  <c r="J760" i="1"/>
  <c r="K760" i="1" s="1"/>
  <c r="J776" i="1"/>
  <c r="K776" i="1" s="1"/>
  <c r="J782" i="1"/>
  <c r="K782" i="1" s="1"/>
  <c r="J793" i="1"/>
  <c r="K793" i="1" s="1"/>
  <c r="J235" i="1"/>
  <c r="K235" i="1" s="1"/>
  <c r="J231" i="1"/>
  <c r="K231" i="1" s="1"/>
  <c r="J227" i="1"/>
  <c r="K227" i="1" s="1"/>
  <c r="J223" i="1"/>
  <c r="K223" i="1" s="1"/>
  <c r="J219" i="1"/>
  <c r="K219" i="1" s="1"/>
  <c r="J215" i="1"/>
  <c r="K215" i="1" s="1"/>
  <c r="J211" i="1"/>
  <c r="K211" i="1" s="1"/>
  <c r="J207" i="1"/>
  <c r="K207" i="1" s="1"/>
  <c r="J203" i="1"/>
  <c r="K203" i="1" s="1"/>
  <c r="J199" i="1"/>
  <c r="K199" i="1" s="1"/>
  <c r="J195" i="1"/>
  <c r="K195" i="1" s="1"/>
  <c r="J191" i="1"/>
  <c r="K191" i="1" s="1"/>
  <c r="J187" i="1"/>
  <c r="K187" i="1" s="1"/>
  <c r="J183" i="1"/>
  <c r="K183" i="1" s="1"/>
  <c r="J179" i="1"/>
  <c r="K179" i="1" s="1"/>
  <c r="J175" i="1"/>
  <c r="K175" i="1" s="1"/>
  <c r="J171" i="1"/>
  <c r="K171" i="1" s="1"/>
  <c r="J167" i="1"/>
  <c r="K167" i="1" s="1"/>
  <c r="J163" i="1"/>
  <c r="K163" i="1" s="1"/>
  <c r="J159" i="1"/>
  <c r="K159" i="1" s="1"/>
  <c r="J155" i="1"/>
  <c r="K155" i="1" s="1"/>
  <c r="J151" i="1"/>
  <c r="K151" i="1" s="1"/>
  <c r="J147" i="1"/>
  <c r="K147" i="1" s="1"/>
  <c r="J143" i="1"/>
  <c r="K143" i="1" s="1"/>
  <c r="J139" i="1"/>
  <c r="K139" i="1" s="1"/>
  <c r="J135" i="1"/>
  <c r="K135" i="1" s="1"/>
  <c r="J131" i="1"/>
  <c r="K131" i="1" s="1"/>
  <c r="J127" i="1"/>
  <c r="K127" i="1" s="1"/>
  <c r="J123" i="1"/>
  <c r="K123" i="1" s="1"/>
  <c r="J119" i="1"/>
  <c r="K119" i="1" s="1"/>
  <c r="J115" i="1"/>
  <c r="K115" i="1" s="1"/>
  <c r="J111" i="1"/>
  <c r="K111" i="1" s="1"/>
  <c r="J107" i="1"/>
  <c r="K107" i="1" s="1"/>
  <c r="J103" i="1"/>
  <c r="K103" i="1" s="1"/>
  <c r="J99" i="1"/>
  <c r="K99" i="1" s="1"/>
  <c r="J95" i="1"/>
  <c r="K95" i="1" s="1"/>
  <c r="J91" i="1"/>
  <c r="K91" i="1" s="1"/>
  <c r="J87" i="1"/>
  <c r="K87" i="1" s="1"/>
  <c r="J83" i="1"/>
  <c r="K83" i="1" s="1"/>
  <c r="J79" i="1"/>
  <c r="K79" i="1" s="1"/>
  <c r="J75" i="1"/>
  <c r="K75" i="1" s="1"/>
  <c r="J71" i="1"/>
  <c r="K71" i="1" s="1"/>
  <c r="J67" i="1"/>
  <c r="K67" i="1" s="1"/>
  <c r="J63" i="1"/>
  <c r="K63" i="1" s="1"/>
  <c r="J59" i="1"/>
  <c r="K59" i="1" s="1"/>
  <c r="J55" i="1"/>
  <c r="K55" i="1" s="1"/>
  <c r="J51" i="1"/>
  <c r="K51" i="1" s="1"/>
  <c r="J47" i="1"/>
  <c r="K47" i="1" s="1"/>
  <c r="J43" i="1"/>
  <c r="K43" i="1" s="1"/>
  <c r="J39" i="1"/>
  <c r="K39" i="1" s="1"/>
  <c r="J35" i="1"/>
  <c r="K35" i="1" s="1"/>
  <c r="J31" i="1"/>
  <c r="K31" i="1" s="1"/>
  <c r="J27" i="1"/>
  <c r="K27" i="1" s="1"/>
  <c r="J23" i="1"/>
  <c r="K23" i="1" s="1"/>
  <c r="J19" i="1"/>
  <c r="K19" i="1" s="1"/>
  <c r="J15" i="1"/>
  <c r="K15" i="1" s="1"/>
  <c r="J11" i="1"/>
  <c r="K11" i="1" s="1"/>
  <c r="J7" i="1"/>
  <c r="K7" i="1" s="1"/>
  <c r="J3" i="1"/>
  <c r="K3" i="1" s="1"/>
  <c r="J503" i="1"/>
  <c r="K503" i="1" s="1"/>
  <c r="J508" i="1"/>
  <c r="K508" i="1" s="1"/>
  <c r="J525" i="1"/>
  <c r="K525" i="1" s="1"/>
  <c r="J536" i="1"/>
  <c r="K536" i="1" s="1"/>
  <c r="J552" i="1"/>
  <c r="K552" i="1" s="1"/>
  <c r="J557" i="1"/>
  <c r="K557" i="1" s="1"/>
  <c r="J569" i="1"/>
  <c r="K569" i="1" s="1"/>
  <c r="J585" i="1"/>
  <c r="K585" i="1" s="1"/>
  <c r="J590" i="1"/>
  <c r="K590" i="1" s="1"/>
  <c r="J601" i="1"/>
  <c r="K601" i="1" s="1"/>
  <c r="J619" i="1"/>
  <c r="K619" i="1" s="1"/>
  <c r="J632" i="1"/>
  <c r="K632" i="1" s="1"/>
  <c r="J648" i="1"/>
  <c r="K648" i="1" s="1"/>
  <c r="J662" i="1"/>
  <c r="K662" i="1" s="1"/>
  <c r="J666" i="1"/>
  <c r="K666" i="1" s="1"/>
  <c r="J683" i="1"/>
  <c r="K683" i="1" s="1"/>
  <c r="J696" i="1"/>
  <c r="K696" i="1" s="1"/>
  <c r="J712" i="1"/>
  <c r="K712" i="1" s="1"/>
  <c r="J716" i="1"/>
  <c r="K716" i="1" s="1"/>
  <c r="J727" i="1"/>
  <c r="K727" i="1" s="1"/>
  <c r="J732" i="1"/>
  <c r="K732" i="1" s="1"/>
  <c r="J748" i="1"/>
  <c r="K748" i="1" s="1"/>
  <c r="J761" i="1"/>
  <c r="K761" i="1" s="1"/>
  <c r="J777" i="1"/>
  <c r="K777" i="1" s="1"/>
  <c r="J790" i="1"/>
  <c r="K790" i="1" s="1"/>
  <c r="J794" i="1"/>
  <c r="K794" i="1" s="1"/>
  <c r="J226" i="1"/>
  <c r="K226" i="1" s="1"/>
  <c r="J222" i="1"/>
  <c r="K222" i="1" s="1"/>
  <c r="J218" i="1"/>
  <c r="K218" i="1" s="1"/>
  <c r="J214" i="1"/>
  <c r="K214" i="1" s="1"/>
  <c r="J210" i="1"/>
  <c r="K210" i="1" s="1"/>
  <c r="J206" i="1"/>
  <c r="K206" i="1" s="1"/>
  <c r="J202" i="1"/>
  <c r="K202" i="1" s="1"/>
  <c r="J198" i="1"/>
  <c r="K198" i="1" s="1"/>
  <c r="J194" i="1"/>
  <c r="K194" i="1" s="1"/>
  <c r="J190" i="1"/>
  <c r="K190" i="1" s="1"/>
  <c r="J186" i="1"/>
  <c r="K186" i="1" s="1"/>
  <c r="J182" i="1"/>
  <c r="K182" i="1" s="1"/>
  <c r="J178" i="1"/>
  <c r="K178" i="1" s="1"/>
  <c r="J174" i="1"/>
  <c r="K174" i="1" s="1"/>
  <c r="J170" i="1"/>
  <c r="K170" i="1" s="1"/>
  <c r="J166" i="1"/>
  <c r="K166" i="1" s="1"/>
  <c r="J162" i="1"/>
  <c r="K162" i="1" s="1"/>
  <c r="J158" i="1"/>
  <c r="K158" i="1" s="1"/>
  <c r="J154" i="1"/>
  <c r="K154" i="1" s="1"/>
  <c r="J150" i="1"/>
  <c r="K150" i="1" s="1"/>
  <c r="J146" i="1"/>
  <c r="K146" i="1" s="1"/>
  <c r="J142" i="1"/>
  <c r="K142" i="1" s="1"/>
  <c r="J138" i="1"/>
  <c r="K138" i="1" s="1"/>
  <c r="J134" i="1"/>
  <c r="K134" i="1" s="1"/>
  <c r="J130" i="1"/>
  <c r="K130" i="1" s="1"/>
  <c r="J126" i="1"/>
  <c r="K126" i="1" s="1"/>
  <c r="J122" i="1"/>
  <c r="K122" i="1" s="1"/>
  <c r="J118" i="1"/>
  <c r="K118" i="1" s="1"/>
  <c r="J114" i="1"/>
  <c r="K114" i="1" s="1"/>
  <c r="J110" i="1"/>
  <c r="K110" i="1" s="1"/>
  <c r="J106" i="1"/>
  <c r="K106" i="1" s="1"/>
  <c r="J102" i="1"/>
  <c r="K102" i="1" s="1"/>
  <c r="J98" i="1"/>
  <c r="K98" i="1" s="1"/>
  <c r="J94" i="1"/>
  <c r="K94" i="1" s="1"/>
  <c r="J90" i="1"/>
  <c r="K90" i="1" s="1"/>
  <c r="J86" i="1"/>
  <c r="K86" i="1" s="1"/>
  <c r="J82" i="1"/>
  <c r="K82" i="1" s="1"/>
  <c r="J78" i="1"/>
  <c r="K78" i="1" s="1"/>
  <c r="J74" i="1"/>
  <c r="K74" i="1" s="1"/>
  <c r="J70" i="1"/>
  <c r="K70" i="1" s="1"/>
  <c r="J66" i="1"/>
  <c r="K66" i="1" s="1"/>
  <c r="J62" i="1"/>
  <c r="K62" i="1" s="1"/>
  <c r="J58" i="1"/>
  <c r="K58" i="1" s="1"/>
  <c r="J54" i="1"/>
  <c r="K54" i="1" s="1"/>
  <c r="J50" i="1"/>
  <c r="K50" i="1" s="1"/>
  <c r="J46" i="1"/>
  <c r="K46" i="1" s="1"/>
  <c r="J42" i="1"/>
  <c r="K42" i="1" s="1"/>
  <c r="J38" i="1"/>
  <c r="K38" i="1" s="1"/>
  <c r="J34" i="1"/>
  <c r="K34" i="1" s="1"/>
  <c r="J30" i="1"/>
  <c r="K30" i="1" s="1"/>
  <c r="J26" i="1"/>
  <c r="K26" i="1" s="1"/>
  <c r="J22" i="1"/>
  <c r="K22" i="1" s="1"/>
  <c r="J18" i="1"/>
  <c r="K18" i="1" s="1"/>
  <c r="J14" i="1"/>
  <c r="K14" i="1" s="1"/>
  <c r="J10" i="1"/>
  <c r="K10" i="1" s="1"/>
  <c r="J6" i="1"/>
  <c r="K6" i="1" s="1"/>
  <c r="J504" i="1"/>
  <c r="K504" i="1" s="1"/>
  <c r="J521" i="1"/>
  <c r="K521" i="1" s="1"/>
  <c r="J526" i="1"/>
  <c r="K526" i="1" s="1"/>
  <c r="J537" i="1"/>
  <c r="K537" i="1" s="1"/>
  <c r="J553" i="1"/>
  <c r="K553" i="1" s="1"/>
  <c r="J566" i="1"/>
  <c r="K566" i="1" s="1"/>
  <c r="J570" i="1"/>
  <c r="K570" i="1" s="1"/>
  <c r="J586" i="1"/>
  <c r="K586" i="1" s="1"/>
  <c r="J598" i="1"/>
  <c r="K598" i="1" s="1"/>
  <c r="J602" i="1"/>
  <c r="K602" i="1" s="1"/>
  <c r="J621" i="1"/>
  <c r="K621" i="1" s="1"/>
  <c r="J633" i="1"/>
  <c r="K633" i="1" s="1"/>
  <c r="J650" i="1"/>
  <c r="K650" i="1" s="1"/>
  <c r="J663" i="1"/>
  <c r="K663" i="1" s="1"/>
  <c r="J668" i="1"/>
  <c r="K668" i="1" s="1"/>
  <c r="J684" i="1"/>
  <c r="K684" i="1" s="1"/>
  <c r="J697" i="1"/>
  <c r="K697" i="1" s="1"/>
  <c r="J713" i="1"/>
  <c r="K713" i="1" s="1"/>
  <c r="J717" i="1"/>
  <c r="K717" i="1" s="1"/>
  <c r="J728" i="1"/>
  <c r="K728" i="1" s="1"/>
  <c r="J744" i="1"/>
  <c r="K744" i="1" s="1"/>
  <c r="J758" i="1"/>
  <c r="K758" i="1" s="1"/>
  <c r="J762" i="1"/>
  <c r="K762" i="1" s="1"/>
  <c r="J779" i="1"/>
  <c r="K779" i="1" s="1"/>
  <c r="J791" i="1"/>
  <c r="K791" i="1" s="1"/>
  <c r="J796" i="1"/>
  <c r="K796" i="1" s="1"/>
  <c r="I558" i="1"/>
  <c r="J558" i="1" s="1"/>
  <c r="K558" i="1" s="1"/>
  <c r="I588" i="1"/>
  <c r="J588" i="1" s="1"/>
  <c r="K588" i="1" s="1"/>
  <c r="I523" i="1"/>
  <c r="J523" i="1" s="1"/>
  <c r="K523" i="1" s="1"/>
  <c r="I778" i="1"/>
  <c r="J778" i="1" s="1"/>
  <c r="K778" i="1" s="1"/>
  <c r="I617" i="1"/>
  <c r="J617" i="1" s="1"/>
  <c r="K617" i="1" s="1"/>
  <c r="I680" i="1"/>
  <c r="J680" i="1" s="1"/>
  <c r="K680" i="1" s="1"/>
  <c r="I750" i="1"/>
  <c r="J750" i="1" s="1"/>
  <c r="K750" i="1" s="1"/>
  <c r="I780" i="1"/>
  <c r="J780" i="1" s="1"/>
  <c r="K780" i="1" s="1"/>
  <c r="I620" i="1"/>
  <c r="J620" i="1" s="1"/>
  <c r="K620" i="1" s="1"/>
  <c r="I520" i="1"/>
  <c r="J520" i="1" s="1"/>
  <c r="K520" i="1" s="1"/>
  <c r="I686" i="1"/>
  <c r="J686" i="1" s="1"/>
  <c r="K686" i="1" s="1"/>
  <c r="I746" i="1"/>
  <c r="J746" i="1" s="1"/>
  <c r="K746" i="1" s="1"/>
  <c r="I649" i="1"/>
  <c r="J649" i="1" s="1"/>
  <c r="K649" i="1" s="1"/>
  <c r="I685" i="1"/>
  <c r="J685" i="1" s="1"/>
  <c r="K685" i="1" s="1"/>
  <c r="I556" i="1"/>
  <c r="J556" i="1" s="1"/>
  <c r="K556" i="1" s="1"/>
  <c r="I616" i="1"/>
  <c r="J616" i="1" s="1"/>
  <c r="K616" i="1" s="1"/>
  <c r="I654" i="1"/>
  <c r="J654" i="1" s="1"/>
  <c r="K654" i="1" s="1"/>
  <c r="I749" i="1"/>
  <c r="J749" i="1" s="1"/>
  <c r="K749" i="1" s="1"/>
  <c r="I622" i="1"/>
  <c r="J622" i="1" s="1"/>
  <c r="K622" i="1" s="1"/>
  <c r="I652" i="1"/>
  <c r="J652" i="1" s="1"/>
  <c r="K652" i="1" s="1"/>
</calcChain>
</file>

<file path=xl/sharedStrings.xml><?xml version="1.0" encoding="utf-8"?>
<sst xmlns="http://schemas.openxmlformats.org/spreadsheetml/2006/main" count="818" uniqueCount="38">
  <si>
    <t>Temp ©</t>
  </si>
  <si>
    <t>Freq (rad/sec)</t>
  </si>
  <si>
    <t>Log(Freq)</t>
  </si>
  <si>
    <t>Shift Factors</t>
  </si>
  <si>
    <t>Log (Shift factors)</t>
  </si>
  <si>
    <t>Reduced Frequency</t>
  </si>
  <si>
    <t>Reduced time</t>
  </si>
  <si>
    <t>Temp C</t>
  </si>
  <si>
    <t>-50 C</t>
  </si>
  <si>
    <t>-40 C</t>
  </si>
  <si>
    <t>-30 C</t>
  </si>
  <si>
    <t>-20 C</t>
  </si>
  <si>
    <t>-10 C</t>
  </si>
  <si>
    <t>0 C</t>
  </si>
  <si>
    <t>10 C</t>
  </si>
  <si>
    <t>20 C</t>
  </si>
  <si>
    <t>30 C</t>
  </si>
  <si>
    <t>40 C</t>
  </si>
  <si>
    <t>50 C</t>
  </si>
  <si>
    <t>60 C</t>
  </si>
  <si>
    <t>70 C</t>
  </si>
  <si>
    <t>80 C</t>
  </si>
  <si>
    <t>90 C</t>
  </si>
  <si>
    <t>100 C</t>
  </si>
  <si>
    <t>110 C</t>
  </si>
  <si>
    <t>120 C</t>
  </si>
  <si>
    <t>130 C</t>
  </si>
  <si>
    <t>140 C</t>
  </si>
  <si>
    <t>150 C</t>
  </si>
  <si>
    <t>160 C</t>
  </si>
  <si>
    <t>170 C</t>
  </si>
  <si>
    <t>180 C</t>
  </si>
  <si>
    <t>190 C</t>
  </si>
  <si>
    <t>200 C</t>
  </si>
  <si>
    <r>
      <t xml:space="preserve">Loss Factor (Tan </t>
    </r>
    <r>
      <rPr>
        <b/>
        <sz val="11"/>
        <color theme="1"/>
        <rFont val="Calibri"/>
        <family val="2"/>
      </rPr>
      <t>δ)</t>
    </r>
  </si>
  <si>
    <t>Storage Modulus G' (Mpa)</t>
  </si>
  <si>
    <t>Loss Modulus G"(Mpa)</t>
  </si>
  <si>
    <t>Complex Modulus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</si>
</sst>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1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2" borderId="0" xfId="0" applyNumberFormat="1" applyFill="1"/>
    <xf numFmtId="1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11" fontId="0" fillId="2" borderId="0" xfId="0" applyNumberFormat="1" applyFill="1"/>
    <xf numFmtId="2" fontId="0" fillId="3" borderId="0" xfId="0" applyNumberFormat="1" applyFill="1"/>
    <xf numFmtId="1" fontId="0" fillId="3" borderId="0" xfId="0" applyNumberFormat="1" applyFill="1"/>
    <xf numFmtId="0" fontId="0" fillId="3" borderId="0" xfId="0" applyFill="1"/>
    <xf numFmtId="164" fontId="0" fillId="3" borderId="0" xfId="0" applyNumberFormat="1" applyFill="1"/>
    <xf numFmtId="11" fontId="0" fillId="3" borderId="0" xfId="0" applyNumberFormat="1" applyFill="1"/>
    <xf numFmtId="0" fontId="1" fillId="4" borderId="0" xfId="0" applyFont="1" applyFill="1" applyAlignment="1">
      <alignment wrapText="1"/>
    </xf>
    <xf numFmtId="1" fontId="1" fillId="4" borderId="0" xfId="0" applyNumberFormat="1" applyFont="1" applyFill="1" applyAlignment="1">
      <alignment wrapText="1"/>
    </xf>
    <xf numFmtId="164" fontId="1" fillId="4" borderId="0" xfId="0" applyNumberFormat="1" applyFont="1" applyFill="1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3D1E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87696343420646"/>
          <c:y val="5.1965230536659107E-2"/>
          <c:w val="0.72622513659302523"/>
          <c:h val="0.8117523256021567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Worksheet!$B$2</c:f>
              <c:strCache>
                <c:ptCount val="1"/>
                <c:pt idx="0">
                  <c:v>-50 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Worksheet!$A$2:$A$32</c:f>
              <c:numCache>
                <c:formatCode>0.00</c:formatCode>
                <c:ptCount val="31"/>
                <c:pt idx="0">
                  <c:v>0.1</c:v>
                </c:pt>
                <c:pt idx="1">
                  <c:v>0.12589</c:v>
                </c:pt>
                <c:pt idx="2">
                  <c:v>0.15848999999999999</c:v>
                </c:pt>
                <c:pt idx="3">
                  <c:v>0.19953000000000001</c:v>
                </c:pt>
                <c:pt idx="4">
                  <c:v>0.25119000000000002</c:v>
                </c:pt>
                <c:pt idx="5">
                  <c:v>0.31623000000000001</c:v>
                </c:pt>
                <c:pt idx="6">
                  <c:v>0.39811000000000002</c:v>
                </c:pt>
                <c:pt idx="7">
                  <c:v>0.50119000000000002</c:v>
                </c:pt>
                <c:pt idx="8">
                  <c:v>0.63095999999999997</c:v>
                </c:pt>
                <c:pt idx="9">
                  <c:v>0.79432999999999998</c:v>
                </c:pt>
                <c:pt idx="10">
                  <c:v>1</c:v>
                </c:pt>
                <c:pt idx="11">
                  <c:v>1.2589300000000001</c:v>
                </c:pt>
                <c:pt idx="12">
                  <c:v>1.5848899999999999</c:v>
                </c:pt>
                <c:pt idx="13">
                  <c:v>1.99526</c:v>
                </c:pt>
                <c:pt idx="14">
                  <c:v>2.5118900000000002</c:v>
                </c:pt>
                <c:pt idx="15">
                  <c:v>3.16228</c:v>
                </c:pt>
                <c:pt idx="16">
                  <c:v>3.9810699999999999</c:v>
                </c:pt>
                <c:pt idx="17">
                  <c:v>5.01187</c:v>
                </c:pt>
                <c:pt idx="18">
                  <c:v>6.3095800000000004</c:v>
                </c:pt>
                <c:pt idx="19">
                  <c:v>7.9432900000000002</c:v>
                </c:pt>
                <c:pt idx="20">
                  <c:v>10</c:v>
                </c:pt>
                <c:pt idx="21">
                  <c:v>12.5893</c:v>
                </c:pt>
                <c:pt idx="22">
                  <c:v>15.8489</c:v>
                </c:pt>
                <c:pt idx="23">
                  <c:v>19.9526</c:v>
                </c:pt>
                <c:pt idx="24">
                  <c:v>25.1189</c:v>
                </c:pt>
                <c:pt idx="25">
                  <c:v>31.622800000000002</c:v>
                </c:pt>
                <c:pt idx="26">
                  <c:v>39.810699999999997</c:v>
                </c:pt>
                <c:pt idx="27">
                  <c:v>50.1188</c:v>
                </c:pt>
                <c:pt idx="28">
                  <c:v>63.095799999999997</c:v>
                </c:pt>
                <c:pt idx="29">
                  <c:v>79.432900000000004</c:v>
                </c:pt>
                <c:pt idx="30">
                  <c:v>100</c:v>
                </c:pt>
              </c:numCache>
            </c:numRef>
          </c:xVal>
          <c:yVal>
            <c:numRef>
              <c:f>Worksheet!$D$2:$D$32</c:f>
              <c:numCache>
                <c:formatCode>0.00</c:formatCode>
                <c:ptCount val="31"/>
                <c:pt idx="0">
                  <c:v>1333.9</c:v>
                </c:pt>
                <c:pt idx="1">
                  <c:v>1341</c:v>
                </c:pt>
                <c:pt idx="2">
                  <c:v>1347.7</c:v>
                </c:pt>
                <c:pt idx="3">
                  <c:v>1355.1</c:v>
                </c:pt>
                <c:pt idx="4">
                  <c:v>1362.3</c:v>
                </c:pt>
                <c:pt idx="5">
                  <c:v>1369.3</c:v>
                </c:pt>
                <c:pt idx="6">
                  <c:v>1375.5</c:v>
                </c:pt>
                <c:pt idx="7">
                  <c:v>1382.2</c:v>
                </c:pt>
                <c:pt idx="8">
                  <c:v>1388.4</c:v>
                </c:pt>
                <c:pt idx="9">
                  <c:v>1394.8</c:v>
                </c:pt>
                <c:pt idx="10">
                  <c:v>1401.2</c:v>
                </c:pt>
                <c:pt idx="11">
                  <c:v>1407.6</c:v>
                </c:pt>
                <c:pt idx="12">
                  <c:v>1413.8</c:v>
                </c:pt>
                <c:pt idx="13">
                  <c:v>1420</c:v>
                </c:pt>
                <c:pt idx="14">
                  <c:v>1426.4</c:v>
                </c:pt>
                <c:pt idx="15">
                  <c:v>1432.5</c:v>
                </c:pt>
                <c:pt idx="16">
                  <c:v>1438.8</c:v>
                </c:pt>
                <c:pt idx="17">
                  <c:v>1444.3</c:v>
                </c:pt>
                <c:pt idx="18">
                  <c:v>1451</c:v>
                </c:pt>
                <c:pt idx="19">
                  <c:v>1457.4</c:v>
                </c:pt>
                <c:pt idx="20">
                  <c:v>1463.4</c:v>
                </c:pt>
                <c:pt idx="21">
                  <c:v>1470</c:v>
                </c:pt>
                <c:pt idx="22">
                  <c:v>1476.7</c:v>
                </c:pt>
                <c:pt idx="23">
                  <c:v>1483.2</c:v>
                </c:pt>
                <c:pt idx="24">
                  <c:v>1490</c:v>
                </c:pt>
                <c:pt idx="25">
                  <c:v>1497.5</c:v>
                </c:pt>
                <c:pt idx="26">
                  <c:v>1503.8</c:v>
                </c:pt>
                <c:pt idx="27">
                  <c:v>1510.6</c:v>
                </c:pt>
                <c:pt idx="28">
                  <c:v>1517.3</c:v>
                </c:pt>
                <c:pt idx="29">
                  <c:v>1523.9</c:v>
                </c:pt>
                <c:pt idx="30">
                  <c:v>1530.4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F8-4374-B006-A39798AB77B9}"/>
            </c:ext>
          </c:extLst>
        </c:ser>
        <c:ser>
          <c:idx val="1"/>
          <c:order val="1"/>
          <c:tx>
            <c:strRef>
              <c:f>Worksheet!$B$33</c:f>
              <c:strCache>
                <c:ptCount val="1"/>
                <c:pt idx="0">
                  <c:v>-40 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Worksheet!$A$33:$A$63</c:f>
              <c:numCache>
                <c:formatCode>0.00</c:formatCode>
                <c:ptCount val="31"/>
                <c:pt idx="0">
                  <c:v>0.1</c:v>
                </c:pt>
                <c:pt idx="1">
                  <c:v>0.12589</c:v>
                </c:pt>
                <c:pt idx="2">
                  <c:v>0.15848999999999999</c:v>
                </c:pt>
                <c:pt idx="3">
                  <c:v>0.19953000000000001</c:v>
                </c:pt>
                <c:pt idx="4">
                  <c:v>0.25119000000000002</c:v>
                </c:pt>
                <c:pt idx="5">
                  <c:v>0.31623000000000001</c:v>
                </c:pt>
                <c:pt idx="6">
                  <c:v>0.39811000000000002</c:v>
                </c:pt>
                <c:pt idx="7">
                  <c:v>0.50119000000000002</c:v>
                </c:pt>
                <c:pt idx="8">
                  <c:v>0.63095999999999997</c:v>
                </c:pt>
                <c:pt idx="9">
                  <c:v>0.79432999999999998</c:v>
                </c:pt>
                <c:pt idx="10">
                  <c:v>1</c:v>
                </c:pt>
                <c:pt idx="11">
                  <c:v>1.2589300000000001</c:v>
                </c:pt>
                <c:pt idx="12">
                  <c:v>1.5848899999999999</c:v>
                </c:pt>
                <c:pt idx="13">
                  <c:v>1.99526</c:v>
                </c:pt>
                <c:pt idx="14">
                  <c:v>2.5118900000000002</c:v>
                </c:pt>
                <c:pt idx="15">
                  <c:v>3.16228</c:v>
                </c:pt>
                <c:pt idx="16">
                  <c:v>3.9810699999999999</c:v>
                </c:pt>
                <c:pt idx="17">
                  <c:v>5.01187</c:v>
                </c:pt>
                <c:pt idx="18">
                  <c:v>6.3095800000000004</c:v>
                </c:pt>
                <c:pt idx="19">
                  <c:v>7.9432900000000002</c:v>
                </c:pt>
                <c:pt idx="20">
                  <c:v>10</c:v>
                </c:pt>
                <c:pt idx="21">
                  <c:v>12.5893</c:v>
                </c:pt>
                <c:pt idx="22">
                  <c:v>15.8489</c:v>
                </c:pt>
                <c:pt idx="23">
                  <c:v>19.9526</c:v>
                </c:pt>
                <c:pt idx="24">
                  <c:v>25.1189</c:v>
                </c:pt>
                <c:pt idx="25">
                  <c:v>31.622800000000002</c:v>
                </c:pt>
                <c:pt idx="26">
                  <c:v>39.810699999999997</c:v>
                </c:pt>
                <c:pt idx="27">
                  <c:v>50.1188</c:v>
                </c:pt>
                <c:pt idx="28">
                  <c:v>63.095799999999997</c:v>
                </c:pt>
                <c:pt idx="29">
                  <c:v>79.432900000000004</c:v>
                </c:pt>
                <c:pt idx="30">
                  <c:v>100</c:v>
                </c:pt>
              </c:numCache>
            </c:numRef>
          </c:xVal>
          <c:yVal>
            <c:numRef>
              <c:f>Worksheet!$D$33:$D$63</c:f>
              <c:numCache>
                <c:formatCode>0.00</c:formatCode>
                <c:ptCount val="31"/>
                <c:pt idx="0">
                  <c:v>1154.5</c:v>
                </c:pt>
                <c:pt idx="1">
                  <c:v>1164.8</c:v>
                </c:pt>
                <c:pt idx="2">
                  <c:v>1175.2</c:v>
                </c:pt>
                <c:pt idx="3">
                  <c:v>1184.5999999999999</c:v>
                </c:pt>
                <c:pt idx="4">
                  <c:v>1193.5</c:v>
                </c:pt>
                <c:pt idx="5">
                  <c:v>1202.3</c:v>
                </c:pt>
                <c:pt idx="6">
                  <c:v>1210.9000000000001</c:v>
                </c:pt>
                <c:pt idx="7">
                  <c:v>1218.5</c:v>
                </c:pt>
                <c:pt idx="8">
                  <c:v>1226.2</c:v>
                </c:pt>
                <c:pt idx="9">
                  <c:v>1233.9000000000001</c:v>
                </c:pt>
                <c:pt idx="10">
                  <c:v>1241.4000000000001</c:v>
                </c:pt>
                <c:pt idx="11">
                  <c:v>1249.0999999999999</c:v>
                </c:pt>
                <c:pt idx="12">
                  <c:v>1256.5</c:v>
                </c:pt>
                <c:pt idx="13">
                  <c:v>1263.5</c:v>
                </c:pt>
                <c:pt idx="14">
                  <c:v>1271.0999999999999</c:v>
                </c:pt>
                <c:pt idx="15">
                  <c:v>1278.4000000000001</c:v>
                </c:pt>
                <c:pt idx="16">
                  <c:v>1285.5</c:v>
                </c:pt>
                <c:pt idx="17">
                  <c:v>1292.8</c:v>
                </c:pt>
                <c:pt idx="18">
                  <c:v>1300.0999999999999</c:v>
                </c:pt>
                <c:pt idx="19">
                  <c:v>1307.5</c:v>
                </c:pt>
                <c:pt idx="20">
                  <c:v>1314.9</c:v>
                </c:pt>
                <c:pt idx="21">
                  <c:v>1322.6</c:v>
                </c:pt>
                <c:pt idx="22">
                  <c:v>1329.7</c:v>
                </c:pt>
                <c:pt idx="23">
                  <c:v>1337.4</c:v>
                </c:pt>
                <c:pt idx="24">
                  <c:v>1345.2</c:v>
                </c:pt>
                <c:pt idx="25">
                  <c:v>1352.6</c:v>
                </c:pt>
                <c:pt idx="26">
                  <c:v>1360.6</c:v>
                </c:pt>
                <c:pt idx="27">
                  <c:v>1368.5</c:v>
                </c:pt>
                <c:pt idx="28">
                  <c:v>1376.1</c:v>
                </c:pt>
                <c:pt idx="29">
                  <c:v>1384.4</c:v>
                </c:pt>
                <c:pt idx="30">
                  <c:v>1392.2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F8-4374-B006-A39798AB77B9}"/>
            </c:ext>
          </c:extLst>
        </c:ser>
        <c:ser>
          <c:idx val="2"/>
          <c:order val="2"/>
          <c:tx>
            <c:strRef>
              <c:f>Worksheet!$B$64</c:f>
              <c:strCache>
                <c:ptCount val="1"/>
                <c:pt idx="0">
                  <c:v>-30 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Worksheet!$A$64:$A$94</c:f>
              <c:numCache>
                <c:formatCode>0.00</c:formatCode>
                <c:ptCount val="31"/>
                <c:pt idx="0">
                  <c:v>0.1</c:v>
                </c:pt>
                <c:pt idx="1">
                  <c:v>0.12589</c:v>
                </c:pt>
                <c:pt idx="2">
                  <c:v>0.15848999999999999</c:v>
                </c:pt>
                <c:pt idx="3">
                  <c:v>0.19953000000000001</c:v>
                </c:pt>
                <c:pt idx="4">
                  <c:v>0.25119000000000002</c:v>
                </c:pt>
                <c:pt idx="5">
                  <c:v>0.31623000000000001</c:v>
                </c:pt>
                <c:pt idx="6">
                  <c:v>0.39811000000000002</c:v>
                </c:pt>
                <c:pt idx="7">
                  <c:v>0.50119000000000002</c:v>
                </c:pt>
                <c:pt idx="8">
                  <c:v>0.63095999999999997</c:v>
                </c:pt>
                <c:pt idx="9">
                  <c:v>0.79432999999999998</c:v>
                </c:pt>
                <c:pt idx="10">
                  <c:v>1</c:v>
                </c:pt>
                <c:pt idx="11">
                  <c:v>1.2589300000000001</c:v>
                </c:pt>
                <c:pt idx="12">
                  <c:v>1.5848899999999999</c:v>
                </c:pt>
                <c:pt idx="13">
                  <c:v>1.99526</c:v>
                </c:pt>
                <c:pt idx="14">
                  <c:v>2.5118900000000002</c:v>
                </c:pt>
                <c:pt idx="15">
                  <c:v>3.16228</c:v>
                </c:pt>
                <c:pt idx="16">
                  <c:v>3.9810699999999999</c:v>
                </c:pt>
                <c:pt idx="17">
                  <c:v>5.01187</c:v>
                </c:pt>
                <c:pt idx="18">
                  <c:v>6.3095800000000004</c:v>
                </c:pt>
                <c:pt idx="19">
                  <c:v>7.9432900000000002</c:v>
                </c:pt>
                <c:pt idx="20">
                  <c:v>10</c:v>
                </c:pt>
                <c:pt idx="21">
                  <c:v>12.5893</c:v>
                </c:pt>
                <c:pt idx="22">
                  <c:v>15.8489</c:v>
                </c:pt>
                <c:pt idx="23">
                  <c:v>19.9526</c:v>
                </c:pt>
                <c:pt idx="24">
                  <c:v>25.1189</c:v>
                </c:pt>
                <c:pt idx="25">
                  <c:v>31.622800000000002</c:v>
                </c:pt>
                <c:pt idx="26">
                  <c:v>39.810699999999997</c:v>
                </c:pt>
                <c:pt idx="27">
                  <c:v>50.1188</c:v>
                </c:pt>
                <c:pt idx="28">
                  <c:v>63.095799999999997</c:v>
                </c:pt>
                <c:pt idx="29">
                  <c:v>79.432900000000004</c:v>
                </c:pt>
                <c:pt idx="30">
                  <c:v>100</c:v>
                </c:pt>
              </c:numCache>
            </c:numRef>
          </c:xVal>
          <c:yVal>
            <c:numRef>
              <c:f>Worksheet!$D$64:$D$94</c:f>
              <c:numCache>
                <c:formatCode>0.00</c:formatCode>
                <c:ptCount val="31"/>
                <c:pt idx="0">
                  <c:v>1020.1</c:v>
                </c:pt>
                <c:pt idx="1">
                  <c:v>1030.5999999999999</c:v>
                </c:pt>
                <c:pt idx="2">
                  <c:v>1039.9000000000001</c:v>
                </c:pt>
                <c:pt idx="3">
                  <c:v>1049.0999999999999</c:v>
                </c:pt>
                <c:pt idx="4">
                  <c:v>1057.5</c:v>
                </c:pt>
                <c:pt idx="5">
                  <c:v>1065.5999999999999</c:v>
                </c:pt>
                <c:pt idx="6">
                  <c:v>1073.4000000000001</c:v>
                </c:pt>
                <c:pt idx="7">
                  <c:v>1080.8</c:v>
                </c:pt>
                <c:pt idx="8">
                  <c:v>1088</c:v>
                </c:pt>
                <c:pt idx="9">
                  <c:v>1095.0999999999999</c:v>
                </c:pt>
                <c:pt idx="10">
                  <c:v>1102.0999999999999</c:v>
                </c:pt>
                <c:pt idx="11">
                  <c:v>1109</c:v>
                </c:pt>
                <c:pt idx="12">
                  <c:v>1115.4000000000001</c:v>
                </c:pt>
                <c:pt idx="13">
                  <c:v>1122.0999999999999</c:v>
                </c:pt>
                <c:pt idx="14">
                  <c:v>1128.5</c:v>
                </c:pt>
                <c:pt idx="15">
                  <c:v>1135.4000000000001</c:v>
                </c:pt>
                <c:pt idx="16">
                  <c:v>1142</c:v>
                </c:pt>
                <c:pt idx="17">
                  <c:v>1148.7</c:v>
                </c:pt>
                <c:pt idx="18">
                  <c:v>1155.5999999999999</c:v>
                </c:pt>
                <c:pt idx="19">
                  <c:v>1162</c:v>
                </c:pt>
                <c:pt idx="20">
                  <c:v>1169</c:v>
                </c:pt>
                <c:pt idx="21">
                  <c:v>1176.2</c:v>
                </c:pt>
                <c:pt idx="22">
                  <c:v>1183.2</c:v>
                </c:pt>
                <c:pt idx="23">
                  <c:v>1190.2</c:v>
                </c:pt>
                <c:pt idx="24">
                  <c:v>1197.5999999999999</c:v>
                </c:pt>
                <c:pt idx="25">
                  <c:v>1204.9000000000001</c:v>
                </c:pt>
                <c:pt idx="26">
                  <c:v>1211.8</c:v>
                </c:pt>
                <c:pt idx="27">
                  <c:v>1219.2</c:v>
                </c:pt>
                <c:pt idx="28">
                  <c:v>1226.8</c:v>
                </c:pt>
                <c:pt idx="29">
                  <c:v>1233.9000000000001</c:v>
                </c:pt>
                <c:pt idx="30">
                  <c:v>1241.2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F8-4374-B006-A39798AB77B9}"/>
            </c:ext>
          </c:extLst>
        </c:ser>
        <c:ser>
          <c:idx val="3"/>
          <c:order val="3"/>
          <c:tx>
            <c:strRef>
              <c:f>Worksheet!$B$95</c:f>
              <c:strCache>
                <c:ptCount val="1"/>
                <c:pt idx="0">
                  <c:v>-20 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Worksheet!$A$95:$A$125</c:f>
              <c:numCache>
                <c:formatCode>0.00</c:formatCode>
                <c:ptCount val="31"/>
                <c:pt idx="0">
                  <c:v>0.1</c:v>
                </c:pt>
                <c:pt idx="1">
                  <c:v>0.12589</c:v>
                </c:pt>
                <c:pt idx="2">
                  <c:v>0.15848999999999999</c:v>
                </c:pt>
                <c:pt idx="3">
                  <c:v>0.19953000000000001</c:v>
                </c:pt>
                <c:pt idx="4">
                  <c:v>0.25119000000000002</c:v>
                </c:pt>
                <c:pt idx="5">
                  <c:v>0.31623000000000001</c:v>
                </c:pt>
                <c:pt idx="6">
                  <c:v>0.39811000000000002</c:v>
                </c:pt>
                <c:pt idx="7">
                  <c:v>0.50119000000000002</c:v>
                </c:pt>
                <c:pt idx="8">
                  <c:v>0.63095999999999997</c:v>
                </c:pt>
                <c:pt idx="9">
                  <c:v>0.79432999999999998</c:v>
                </c:pt>
                <c:pt idx="10">
                  <c:v>1</c:v>
                </c:pt>
                <c:pt idx="11">
                  <c:v>1.2589300000000001</c:v>
                </c:pt>
                <c:pt idx="12">
                  <c:v>1.5848899999999999</c:v>
                </c:pt>
                <c:pt idx="13">
                  <c:v>1.99526</c:v>
                </c:pt>
                <c:pt idx="14">
                  <c:v>2.5118900000000002</c:v>
                </c:pt>
                <c:pt idx="15">
                  <c:v>3.16228</c:v>
                </c:pt>
                <c:pt idx="16">
                  <c:v>3.9810699999999999</c:v>
                </c:pt>
                <c:pt idx="17">
                  <c:v>5.01187</c:v>
                </c:pt>
                <c:pt idx="18">
                  <c:v>6.3095800000000004</c:v>
                </c:pt>
                <c:pt idx="19">
                  <c:v>7.9432900000000002</c:v>
                </c:pt>
                <c:pt idx="20">
                  <c:v>10</c:v>
                </c:pt>
                <c:pt idx="21">
                  <c:v>12.5893</c:v>
                </c:pt>
                <c:pt idx="22">
                  <c:v>15.8489</c:v>
                </c:pt>
                <c:pt idx="23">
                  <c:v>19.9526</c:v>
                </c:pt>
                <c:pt idx="24">
                  <c:v>25.1189</c:v>
                </c:pt>
                <c:pt idx="25">
                  <c:v>31.622800000000002</c:v>
                </c:pt>
                <c:pt idx="26">
                  <c:v>39.810699999999997</c:v>
                </c:pt>
                <c:pt idx="27">
                  <c:v>50.1188</c:v>
                </c:pt>
                <c:pt idx="28">
                  <c:v>63.095799999999997</c:v>
                </c:pt>
                <c:pt idx="29">
                  <c:v>79.432900000000004</c:v>
                </c:pt>
                <c:pt idx="30">
                  <c:v>100</c:v>
                </c:pt>
              </c:numCache>
            </c:numRef>
          </c:xVal>
          <c:yVal>
            <c:numRef>
              <c:f>Worksheet!$D$95:$D$125</c:f>
              <c:numCache>
                <c:formatCode>0.00</c:formatCode>
                <c:ptCount val="31"/>
                <c:pt idx="0">
                  <c:v>908.78</c:v>
                </c:pt>
                <c:pt idx="1">
                  <c:v>919.42</c:v>
                </c:pt>
                <c:pt idx="2">
                  <c:v>928.91</c:v>
                </c:pt>
                <c:pt idx="3">
                  <c:v>937.37</c:v>
                </c:pt>
                <c:pt idx="4">
                  <c:v>945.64</c:v>
                </c:pt>
                <c:pt idx="5">
                  <c:v>953.08</c:v>
                </c:pt>
                <c:pt idx="6">
                  <c:v>960.55</c:v>
                </c:pt>
                <c:pt idx="7">
                  <c:v>967.68</c:v>
                </c:pt>
                <c:pt idx="8">
                  <c:v>974.22</c:v>
                </c:pt>
                <c:pt idx="9">
                  <c:v>980.85</c:v>
                </c:pt>
                <c:pt idx="10">
                  <c:v>987.62</c:v>
                </c:pt>
                <c:pt idx="11">
                  <c:v>993.92</c:v>
                </c:pt>
                <c:pt idx="12">
                  <c:v>1000.1</c:v>
                </c:pt>
                <c:pt idx="13">
                  <c:v>1006.5</c:v>
                </c:pt>
                <c:pt idx="14">
                  <c:v>1012.7</c:v>
                </c:pt>
                <c:pt idx="15">
                  <c:v>1018.6</c:v>
                </c:pt>
                <c:pt idx="16">
                  <c:v>1024.9000000000001</c:v>
                </c:pt>
                <c:pt idx="17">
                  <c:v>1031.0999999999999</c:v>
                </c:pt>
                <c:pt idx="18">
                  <c:v>1037.2</c:v>
                </c:pt>
                <c:pt idx="19">
                  <c:v>1043.4000000000001</c:v>
                </c:pt>
                <c:pt idx="20">
                  <c:v>1049.5999999999999</c:v>
                </c:pt>
                <c:pt idx="21">
                  <c:v>1055.5</c:v>
                </c:pt>
                <c:pt idx="22">
                  <c:v>1061.7</c:v>
                </c:pt>
                <c:pt idx="23">
                  <c:v>1068.2</c:v>
                </c:pt>
                <c:pt idx="24">
                  <c:v>1074.5999999999999</c:v>
                </c:pt>
                <c:pt idx="25">
                  <c:v>1081.3</c:v>
                </c:pt>
                <c:pt idx="26">
                  <c:v>1087.2</c:v>
                </c:pt>
                <c:pt idx="27">
                  <c:v>1093.5999999999999</c:v>
                </c:pt>
                <c:pt idx="28">
                  <c:v>1099.5</c:v>
                </c:pt>
                <c:pt idx="29">
                  <c:v>1106.0999999999999</c:v>
                </c:pt>
                <c:pt idx="30">
                  <c:v>1112.4000000000001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F8-4374-B006-A39798AB77B9}"/>
            </c:ext>
          </c:extLst>
        </c:ser>
        <c:ser>
          <c:idx val="4"/>
          <c:order val="4"/>
          <c:tx>
            <c:strRef>
              <c:f>Worksheet!$B$127</c:f>
              <c:strCache>
                <c:ptCount val="1"/>
                <c:pt idx="0">
                  <c:v>-10 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Worksheet!$A$126:$A$156</c:f>
              <c:numCache>
                <c:formatCode>0.00</c:formatCode>
                <c:ptCount val="31"/>
                <c:pt idx="0">
                  <c:v>0.1</c:v>
                </c:pt>
                <c:pt idx="1">
                  <c:v>0.12589</c:v>
                </c:pt>
                <c:pt idx="2">
                  <c:v>0.15848999999999999</c:v>
                </c:pt>
                <c:pt idx="3">
                  <c:v>0.19953000000000001</c:v>
                </c:pt>
                <c:pt idx="4">
                  <c:v>0.25119000000000002</c:v>
                </c:pt>
                <c:pt idx="5">
                  <c:v>0.31623000000000001</c:v>
                </c:pt>
                <c:pt idx="6">
                  <c:v>0.39811000000000002</c:v>
                </c:pt>
                <c:pt idx="7">
                  <c:v>0.50119000000000002</c:v>
                </c:pt>
                <c:pt idx="8">
                  <c:v>0.63095999999999997</c:v>
                </c:pt>
                <c:pt idx="9">
                  <c:v>0.79432999999999998</c:v>
                </c:pt>
                <c:pt idx="10">
                  <c:v>1</c:v>
                </c:pt>
                <c:pt idx="11">
                  <c:v>1.2589300000000001</c:v>
                </c:pt>
                <c:pt idx="12">
                  <c:v>1.5848899999999999</c:v>
                </c:pt>
                <c:pt idx="13">
                  <c:v>1.99526</c:v>
                </c:pt>
                <c:pt idx="14">
                  <c:v>2.5118900000000002</c:v>
                </c:pt>
                <c:pt idx="15">
                  <c:v>3.16228</c:v>
                </c:pt>
                <c:pt idx="16">
                  <c:v>3.9810699999999999</c:v>
                </c:pt>
                <c:pt idx="17">
                  <c:v>5.01187</c:v>
                </c:pt>
                <c:pt idx="18">
                  <c:v>6.3095800000000004</c:v>
                </c:pt>
                <c:pt idx="19">
                  <c:v>7.9432900000000002</c:v>
                </c:pt>
                <c:pt idx="20">
                  <c:v>10</c:v>
                </c:pt>
                <c:pt idx="21">
                  <c:v>12.5893</c:v>
                </c:pt>
                <c:pt idx="22">
                  <c:v>15.8489</c:v>
                </c:pt>
                <c:pt idx="23">
                  <c:v>19.9526</c:v>
                </c:pt>
                <c:pt idx="24">
                  <c:v>25.1189</c:v>
                </c:pt>
                <c:pt idx="25">
                  <c:v>31.622800000000002</c:v>
                </c:pt>
                <c:pt idx="26">
                  <c:v>39.810699999999997</c:v>
                </c:pt>
                <c:pt idx="27">
                  <c:v>50.1188</c:v>
                </c:pt>
                <c:pt idx="28">
                  <c:v>63.095799999999997</c:v>
                </c:pt>
                <c:pt idx="29">
                  <c:v>79.432900000000004</c:v>
                </c:pt>
                <c:pt idx="30">
                  <c:v>100</c:v>
                </c:pt>
              </c:numCache>
            </c:numRef>
          </c:xVal>
          <c:yVal>
            <c:numRef>
              <c:f>Worksheet!$D$126:$D$156</c:f>
              <c:numCache>
                <c:formatCode>0.00</c:formatCode>
                <c:ptCount val="31"/>
                <c:pt idx="0">
                  <c:v>805.11</c:v>
                </c:pt>
                <c:pt idx="1">
                  <c:v>814.57</c:v>
                </c:pt>
                <c:pt idx="2">
                  <c:v>823.01</c:v>
                </c:pt>
                <c:pt idx="3">
                  <c:v>830.78</c:v>
                </c:pt>
                <c:pt idx="4">
                  <c:v>837.8</c:v>
                </c:pt>
                <c:pt idx="5">
                  <c:v>844.46</c:v>
                </c:pt>
                <c:pt idx="6">
                  <c:v>850.87</c:v>
                </c:pt>
                <c:pt idx="7">
                  <c:v>857</c:v>
                </c:pt>
                <c:pt idx="8">
                  <c:v>863.14</c:v>
                </c:pt>
                <c:pt idx="9">
                  <c:v>868.67</c:v>
                </c:pt>
                <c:pt idx="10">
                  <c:v>874.89</c:v>
                </c:pt>
                <c:pt idx="11">
                  <c:v>880.79</c:v>
                </c:pt>
                <c:pt idx="12">
                  <c:v>886.63</c:v>
                </c:pt>
                <c:pt idx="13">
                  <c:v>892.16</c:v>
                </c:pt>
                <c:pt idx="14">
                  <c:v>898.21</c:v>
                </c:pt>
                <c:pt idx="15">
                  <c:v>903.89</c:v>
                </c:pt>
                <c:pt idx="16">
                  <c:v>909.59</c:v>
                </c:pt>
                <c:pt idx="17">
                  <c:v>915.28</c:v>
                </c:pt>
                <c:pt idx="18">
                  <c:v>921.46</c:v>
                </c:pt>
                <c:pt idx="19">
                  <c:v>927.34</c:v>
                </c:pt>
                <c:pt idx="20">
                  <c:v>933.65</c:v>
                </c:pt>
                <c:pt idx="21">
                  <c:v>939.58</c:v>
                </c:pt>
                <c:pt idx="22">
                  <c:v>945.51</c:v>
                </c:pt>
                <c:pt idx="23">
                  <c:v>951.62</c:v>
                </c:pt>
                <c:pt idx="24">
                  <c:v>957.67</c:v>
                </c:pt>
                <c:pt idx="25">
                  <c:v>963.81</c:v>
                </c:pt>
                <c:pt idx="26">
                  <c:v>970.28</c:v>
                </c:pt>
                <c:pt idx="27">
                  <c:v>976.54</c:v>
                </c:pt>
                <c:pt idx="28">
                  <c:v>982.81</c:v>
                </c:pt>
                <c:pt idx="29">
                  <c:v>989.03</c:v>
                </c:pt>
                <c:pt idx="30">
                  <c:v>994.88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CF8-4374-B006-A39798AB77B9}"/>
            </c:ext>
          </c:extLst>
        </c:ser>
        <c:ser>
          <c:idx val="5"/>
          <c:order val="5"/>
          <c:tx>
            <c:strRef>
              <c:f>Worksheet!$B$158</c:f>
              <c:strCache>
                <c:ptCount val="1"/>
                <c:pt idx="0">
                  <c:v>0 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Worksheet!$A$157:$A$187</c:f>
              <c:numCache>
                <c:formatCode>0.00</c:formatCode>
                <c:ptCount val="31"/>
                <c:pt idx="0">
                  <c:v>0.1</c:v>
                </c:pt>
                <c:pt idx="1">
                  <c:v>0.12589</c:v>
                </c:pt>
                <c:pt idx="2">
                  <c:v>0.15848999999999999</c:v>
                </c:pt>
                <c:pt idx="3">
                  <c:v>0.19953000000000001</c:v>
                </c:pt>
                <c:pt idx="4">
                  <c:v>0.25119000000000002</c:v>
                </c:pt>
                <c:pt idx="5">
                  <c:v>0.31623000000000001</c:v>
                </c:pt>
                <c:pt idx="6">
                  <c:v>0.39811000000000002</c:v>
                </c:pt>
                <c:pt idx="7">
                  <c:v>0.50119000000000002</c:v>
                </c:pt>
                <c:pt idx="8">
                  <c:v>0.63095999999999997</c:v>
                </c:pt>
                <c:pt idx="9">
                  <c:v>0.79432999999999998</c:v>
                </c:pt>
                <c:pt idx="10">
                  <c:v>1</c:v>
                </c:pt>
                <c:pt idx="11">
                  <c:v>1.2589300000000001</c:v>
                </c:pt>
                <c:pt idx="12">
                  <c:v>1.5848899999999999</c:v>
                </c:pt>
                <c:pt idx="13">
                  <c:v>1.99526</c:v>
                </c:pt>
                <c:pt idx="14">
                  <c:v>2.5118900000000002</c:v>
                </c:pt>
                <c:pt idx="15">
                  <c:v>3.16228</c:v>
                </c:pt>
                <c:pt idx="16">
                  <c:v>3.9810699999999999</c:v>
                </c:pt>
                <c:pt idx="17">
                  <c:v>5.01187</c:v>
                </c:pt>
                <c:pt idx="18">
                  <c:v>6.3095800000000004</c:v>
                </c:pt>
                <c:pt idx="19">
                  <c:v>7.9432900000000002</c:v>
                </c:pt>
                <c:pt idx="20">
                  <c:v>10</c:v>
                </c:pt>
                <c:pt idx="21">
                  <c:v>12.5893</c:v>
                </c:pt>
                <c:pt idx="22">
                  <c:v>15.8489</c:v>
                </c:pt>
                <c:pt idx="23">
                  <c:v>19.9526</c:v>
                </c:pt>
                <c:pt idx="24">
                  <c:v>25.1189</c:v>
                </c:pt>
                <c:pt idx="25">
                  <c:v>31.622800000000002</c:v>
                </c:pt>
                <c:pt idx="26">
                  <c:v>39.810699999999997</c:v>
                </c:pt>
                <c:pt idx="27">
                  <c:v>50.1188</c:v>
                </c:pt>
                <c:pt idx="28">
                  <c:v>63.095799999999997</c:v>
                </c:pt>
                <c:pt idx="29">
                  <c:v>79.432900000000004</c:v>
                </c:pt>
                <c:pt idx="30">
                  <c:v>100</c:v>
                </c:pt>
              </c:numCache>
            </c:numRef>
          </c:xVal>
          <c:yVal>
            <c:numRef>
              <c:f>Worksheet!$D$157:$D$187</c:f>
              <c:numCache>
                <c:formatCode>0.00</c:formatCode>
                <c:ptCount val="31"/>
                <c:pt idx="0">
                  <c:v>731.61</c:v>
                </c:pt>
                <c:pt idx="1">
                  <c:v>740.96</c:v>
                </c:pt>
                <c:pt idx="2">
                  <c:v>748.42</c:v>
                </c:pt>
                <c:pt idx="3">
                  <c:v>756.15</c:v>
                </c:pt>
                <c:pt idx="4">
                  <c:v>762.73</c:v>
                </c:pt>
                <c:pt idx="5">
                  <c:v>768.71</c:v>
                </c:pt>
                <c:pt idx="6">
                  <c:v>774.76</c:v>
                </c:pt>
                <c:pt idx="7">
                  <c:v>780.25</c:v>
                </c:pt>
                <c:pt idx="8">
                  <c:v>785.71</c:v>
                </c:pt>
                <c:pt idx="9">
                  <c:v>790.95</c:v>
                </c:pt>
                <c:pt idx="10">
                  <c:v>796.16</c:v>
                </c:pt>
                <c:pt idx="11">
                  <c:v>801.35</c:v>
                </c:pt>
                <c:pt idx="12">
                  <c:v>806.57</c:v>
                </c:pt>
                <c:pt idx="13">
                  <c:v>811.49</c:v>
                </c:pt>
                <c:pt idx="14">
                  <c:v>816.53</c:v>
                </c:pt>
                <c:pt idx="15">
                  <c:v>821.5</c:v>
                </c:pt>
                <c:pt idx="16">
                  <c:v>826.66</c:v>
                </c:pt>
                <c:pt idx="17">
                  <c:v>831.25</c:v>
                </c:pt>
                <c:pt idx="18">
                  <c:v>836.17</c:v>
                </c:pt>
                <c:pt idx="19">
                  <c:v>840.95</c:v>
                </c:pt>
                <c:pt idx="20">
                  <c:v>846.1</c:v>
                </c:pt>
                <c:pt idx="21">
                  <c:v>851.16</c:v>
                </c:pt>
                <c:pt idx="22">
                  <c:v>855.92</c:v>
                </c:pt>
                <c:pt idx="23">
                  <c:v>860.88</c:v>
                </c:pt>
                <c:pt idx="24">
                  <c:v>865.72</c:v>
                </c:pt>
                <c:pt idx="25">
                  <c:v>871.16</c:v>
                </c:pt>
                <c:pt idx="26">
                  <c:v>876.04</c:v>
                </c:pt>
                <c:pt idx="27">
                  <c:v>881.03</c:v>
                </c:pt>
                <c:pt idx="28">
                  <c:v>886.14</c:v>
                </c:pt>
                <c:pt idx="29">
                  <c:v>890.94</c:v>
                </c:pt>
                <c:pt idx="30">
                  <c:v>895.6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CF8-4374-B006-A39798AB77B9}"/>
            </c:ext>
          </c:extLst>
        </c:ser>
        <c:ser>
          <c:idx val="6"/>
          <c:order val="6"/>
          <c:tx>
            <c:strRef>
              <c:f>Worksheet!$B$188</c:f>
              <c:strCache>
                <c:ptCount val="1"/>
                <c:pt idx="0">
                  <c:v>10 C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Worksheet!$A$188:$A$218</c:f>
              <c:numCache>
                <c:formatCode>0.00</c:formatCode>
                <c:ptCount val="31"/>
                <c:pt idx="0">
                  <c:v>0.1</c:v>
                </c:pt>
                <c:pt idx="1">
                  <c:v>0.12589</c:v>
                </c:pt>
                <c:pt idx="2">
                  <c:v>0.15848999999999999</c:v>
                </c:pt>
                <c:pt idx="3">
                  <c:v>0.19953000000000001</c:v>
                </c:pt>
                <c:pt idx="4">
                  <c:v>0.25119000000000002</c:v>
                </c:pt>
                <c:pt idx="5">
                  <c:v>0.31623000000000001</c:v>
                </c:pt>
                <c:pt idx="6">
                  <c:v>0.39811000000000002</c:v>
                </c:pt>
                <c:pt idx="7">
                  <c:v>0.50119000000000002</c:v>
                </c:pt>
                <c:pt idx="8">
                  <c:v>0.63095999999999997</c:v>
                </c:pt>
                <c:pt idx="9">
                  <c:v>0.79432999999999998</c:v>
                </c:pt>
                <c:pt idx="10">
                  <c:v>1</c:v>
                </c:pt>
                <c:pt idx="11">
                  <c:v>1.2589300000000001</c:v>
                </c:pt>
                <c:pt idx="12">
                  <c:v>1.5848899999999999</c:v>
                </c:pt>
                <c:pt idx="13">
                  <c:v>1.99526</c:v>
                </c:pt>
                <c:pt idx="14">
                  <c:v>2.5118900000000002</c:v>
                </c:pt>
                <c:pt idx="15">
                  <c:v>3.16228</c:v>
                </c:pt>
                <c:pt idx="16">
                  <c:v>3.9810699999999999</c:v>
                </c:pt>
                <c:pt idx="17">
                  <c:v>5.01187</c:v>
                </c:pt>
                <c:pt idx="18">
                  <c:v>6.3095800000000004</c:v>
                </c:pt>
                <c:pt idx="19">
                  <c:v>7.9432900000000002</c:v>
                </c:pt>
                <c:pt idx="20">
                  <c:v>10</c:v>
                </c:pt>
                <c:pt idx="21">
                  <c:v>12.5893</c:v>
                </c:pt>
                <c:pt idx="22">
                  <c:v>15.8489</c:v>
                </c:pt>
                <c:pt idx="23">
                  <c:v>19.9526</c:v>
                </c:pt>
                <c:pt idx="24">
                  <c:v>25.1189</c:v>
                </c:pt>
                <c:pt idx="25">
                  <c:v>31.622800000000002</c:v>
                </c:pt>
                <c:pt idx="26">
                  <c:v>39.810699999999997</c:v>
                </c:pt>
                <c:pt idx="27">
                  <c:v>50.1188</c:v>
                </c:pt>
                <c:pt idx="28">
                  <c:v>63.095799999999997</c:v>
                </c:pt>
                <c:pt idx="29">
                  <c:v>79.432900000000004</c:v>
                </c:pt>
                <c:pt idx="30">
                  <c:v>100</c:v>
                </c:pt>
              </c:numCache>
            </c:numRef>
          </c:xVal>
          <c:yVal>
            <c:numRef>
              <c:f>Worksheet!$D$188:$D$218</c:f>
              <c:numCache>
                <c:formatCode>0.00</c:formatCode>
                <c:ptCount val="31"/>
                <c:pt idx="0">
                  <c:v>667.29</c:v>
                </c:pt>
                <c:pt idx="1">
                  <c:v>676.52</c:v>
                </c:pt>
                <c:pt idx="2">
                  <c:v>684.14</c:v>
                </c:pt>
                <c:pt idx="3">
                  <c:v>690.96</c:v>
                </c:pt>
                <c:pt idx="4">
                  <c:v>697.56</c:v>
                </c:pt>
                <c:pt idx="5">
                  <c:v>703.14</c:v>
                </c:pt>
                <c:pt idx="6">
                  <c:v>708.73</c:v>
                </c:pt>
                <c:pt idx="7">
                  <c:v>713.91</c:v>
                </c:pt>
                <c:pt idx="8">
                  <c:v>719.41</c:v>
                </c:pt>
                <c:pt idx="9">
                  <c:v>724.26</c:v>
                </c:pt>
                <c:pt idx="10">
                  <c:v>729.49</c:v>
                </c:pt>
                <c:pt idx="11">
                  <c:v>734.28</c:v>
                </c:pt>
                <c:pt idx="12">
                  <c:v>739.04</c:v>
                </c:pt>
                <c:pt idx="13">
                  <c:v>743.8</c:v>
                </c:pt>
                <c:pt idx="14">
                  <c:v>748.34</c:v>
                </c:pt>
                <c:pt idx="15">
                  <c:v>752.93</c:v>
                </c:pt>
                <c:pt idx="16">
                  <c:v>757.59</c:v>
                </c:pt>
                <c:pt idx="17">
                  <c:v>762</c:v>
                </c:pt>
                <c:pt idx="18">
                  <c:v>766.6</c:v>
                </c:pt>
                <c:pt idx="19">
                  <c:v>771.26</c:v>
                </c:pt>
                <c:pt idx="20">
                  <c:v>775.79</c:v>
                </c:pt>
                <c:pt idx="21">
                  <c:v>780.19</c:v>
                </c:pt>
                <c:pt idx="22">
                  <c:v>784.63</c:v>
                </c:pt>
                <c:pt idx="23">
                  <c:v>789.16</c:v>
                </c:pt>
                <c:pt idx="24">
                  <c:v>793.54</c:v>
                </c:pt>
                <c:pt idx="25">
                  <c:v>798.13</c:v>
                </c:pt>
                <c:pt idx="26">
                  <c:v>802.58</c:v>
                </c:pt>
                <c:pt idx="27">
                  <c:v>806.91</c:v>
                </c:pt>
                <c:pt idx="28">
                  <c:v>811.32</c:v>
                </c:pt>
                <c:pt idx="29">
                  <c:v>815.59</c:v>
                </c:pt>
                <c:pt idx="30">
                  <c:v>819.78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CF8-4374-B006-A39798AB77B9}"/>
            </c:ext>
          </c:extLst>
        </c:ser>
        <c:ser>
          <c:idx val="7"/>
          <c:order val="7"/>
          <c:tx>
            <c:strRef>
              <c:f>Worksheet!$B$219</c:f>
              <c:strCache>
                <c:ptCount val="1"/>
                <c:pt idx="0">
                  <c:v>20 C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Worksheet!$A$219:$A$249</c:f>
              <c:numCache>
                <c:formatCode>0.00</c:formatCode>
                <c:ptCount val="31"/>
                <c:pt idx="0">
                  <c:v>0.1</c:v>
                </c:pt>
                <c:pt idx="1">
                  <c:v>0.12589</c:v>
                </c:pt>
                <c:pt idx="2">
                  <c:v>0.15848999999999999</c:v>
                </c:pt>
                <c:pt idx="3">
                  <c:v>0.19953000000000001</c:v>
                </c:pt>
                <c:pt idx="4">
                  <c:v>0.25119000000000002</c:v>
                </c:pt>
                <c:pt idx="5">
                  <c:v>0.31623000000000001</c:v>
                </c:pt>
                <c:pt idx="6">
                  <c:v>0.39811000000000002</c:v>
                </c:pt>
                <c:pt idx="7">
                  <c:v>0.50119000000000002</c:v>
                </c:pt>
                <c:pt idx="8">
                  <c:v>0.63095999999999997</c:v>
                </c:pt>
                <c:pt idx="9">
                  <c:v>0.79432999999999998</c:v>
                </c:pt>
                <c:pt idx="10">
                  <c:v>1</c:v>
                </c:pt>
                <c:pt idx="11">
                  <c:v>1.2589300000000001</c:v>
                </c:pt>
                <c:pt idx="12">
                  <c:v>1.5848899999999999</c:v>
                </c:pt>
                <c:pt idx="13">
                  <c:v>1.99526</c:v>
                </c:pt>
                <c:pt idx="14">
                  <c:v>2.5118900000000002</c:v>
                </c:pt>
                <c:pt idx="15">
                  <c:v>3.16228</c:v>
                </c:pt>
                <c:pt idx="16">
                  <c:v>3.9810699999999999</c:v>
                </c:pt>
                <c:pt idx="17">
                  <c:v>5.01187</c:v>
                </c:pt>
                <c:pt idx="18">
                  <c:v>6.3095800000000004</c:v>
                </c:pt>
                <c:pt idx="19">
                  <c:v>7.9432900000000002</c:v>
                </c:pt>
                <c:pt idx="20">
                  <c:v>10</c:v>
                </c:pt>
                <c:pt idx="21">
                  <c:v>12.5893</c:v>
                </c:pt>
                <c:pt idx="22">
                  <c:v>15.8489</c:v>
                </c:pt>
                <c:pt idx="23">
                  <c:v>19.9526</c:v>
                </c:pt>
                <c:pt idx="24">
                  <c:v>25.1189</c:v>
                </c:pt>
                <c:pt idx="25">
                  <c:v>31.622800000000002</c:v>
                </c:pt>
                <c:pt idx="26">
                  <c:v>39.810699999999997</c:v>
                </c:pt>
                <c:pt idx="27">
                  <c:v>50.1188</c:v>
                </c:pt>
                <c:pt idx="28">
                  <c:v>63.095799999999997</c:v>
                </c:pt>
                <c:pt idx="29">
                  <c:v>79.432900000000004</c:v>
                </c:pt>
                <c:pt idx="30">
                  <c:v>100</c:v>
                </c:pt>
              </c:numCache>
            </c:numRef>
          </c:xVal>
          <c:yVal>
            <c:numRef>
              <c:f>Worksheet!$D$219:$D$249</c:f>
              <c:numCache>
                <c:formatCode>0.00</c:formatCode>
                <c:ptCount val="31"/>
                <c:pt idx="0">
                  <c:v>605.24</c:v>
                </c:pt>
                <c:pt idx="1">
                  <c:v>614.01</c:v>
                </c:pt>
                <c:pt idx="2">
                  <c:v>621.76</c:v>
                </c:pt>
                <c:pt idx="3">
                  <c:v>628.52</c:v>
                </c:pt>
                <c:pt idx="4">
                  <c:v>634.80999999999995</c:v>
                </c:pt>
                <c:pt idx="5">
                  <c:v>640.54999999999995</c:v>
                </c:pt>
                <c:pt idx="6">
                  <c:v>645.89</c:v>
                </c:pt>
                <c:pt idx="7">
                  <c:v>651.09</c:v>
                </c:pt>
                <c:pt idx="8">
                  <c:v>656.13</c:v>
                </c:pt>
                <c:pt idx="9">
                  <c:v>660.79</c:v>
                </c:pt>
                <c:pt idx="10">
                  <c:v>665.89</c:v>
                </c:pt>
                <c:pt idx="11">
                  <c:v>670.55</c:v>
                </c:pt>
                <c:pt idx="12">
                  <c:v>675.2</c:v>
                </c:pt>
                <c:pt idx="13">
                  <c:v>679.82</c:v>
                </c:pt>
                <c:pt idx="14">
                  <c:v>684.33</c:v>
                </c:pt>
                <c:pt idx="15">
                  <c:v>688.81</c:v>
                </c:pt>
                <c:pt idx="16">
                  <c:v>693.04</c:v>
                </c:pt>
                <c:pt idx="17">
                  <c:v>697.51</c:v>
                </c:pt>
                <c:pt idx="18">
                  <c:v>701.84</c:v>
                </c:pt>
                <c:pt idx="19">
                  <c:v>706.38</c:v>
                </c:pt>
                <c:pt idx="20">
                  <c:v>710.63</c:v>
                </c:pt>
                <c:pt idx="21">
                  <c:v>715.03</c:v>
                </c:pt>
                <c:pt idx="22">
                  <c:v>719.44</c:v>
                </c:pt>
                <c:pt idx="23">
                  <c:v>723.66</c:v>
                </c:pt>
                <c:pt idx="24">
                  <c:v>727.96</c:v>
                </c:pt>
                <c:pt idx="25">
                  <c:v>732.26</c:v>
                </c:pt>
                <c:pt idx="26">
                  <c:v>736.41</c:v>
                </c:pt>
                <c:pt idx="27">
                  <c:v>740.5</c:v>
                </c:pt>
                <c:pt idx="28">
                  <c:v>744.73</c:v>
                </c:pt>
                <c:pt idx="29">
                  <c:v>748.55</c:v>
                </c:pt>
                <c:pt idx="30">
                  <c:v>752.3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CF8-4374-B006-A39798AB77B9}"/>
            </c:ext>
          </c:extLst>
        </c:ser>
        <c:ser>
          <c:idx val="8"/>
          <c:order val="8"/>
          <c:tx>
            <c:strRef>
              <c:f>Worksheet!$B$250</c:f>
              <c:strCache>
                <c:ptCount val="1"/>
                <c:pt idx="0">
                  <c:v>30 C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Worksheet!$A$250:$A$280</c:f>
              <c:numCache>
                <c:formatCode>0.00</c:formatCode>
                <c:ptCount val="31"/>
                <c:pt idx="0">
                  <c:v>0.1</c:v>
                </c:pt>
                <c:pt idx="1">
                  <c:v>0.12589</c:v>
                </c:pt>
                <c:pt idx="2">
                  <c:v>0.15848999999999999</c:v>
                </c:pt>
                <c:pt idx="3">
                  <c:v>0.19953000000000001</c:v>
                </c:pt>
                <c:pt idx="4">
                  <c:v>0.25119000000000002</c:v>
                </c:pt>
                <c:pt idx="5">
                  <c:v>0.31623000000000001</c:v>
                </c:pt>
                <c:pt idx="6">
                  <c:v>0.39811000000000002</c:v>
                </c:pt>
                <c:pt idx="7">
                  <c:v>0.50119000000000002</c:v>
                </c:pt>
                <c:pt idx="8">
                  <c:v>0.63095999999999997</c:v>
                </c:pt>
                <c:pt idx="9">
                  <c:v>0.79432999999999998</c:v>
                </c:pt>
                <c:pt idx="10">
                  <c:v>1</c:v>
                </c:pt>
                <c:pt idx="11">
                  <c:v>1.2589300000000001</c:v>
                </c:pt>
                <c:pt idx="12">
                  <c:v>1.5848899999999999</c:v>
                </c:pt>
                <c:pt idx="13">
                  <c:v>1.99526</c:v>
                </c:pt>
                <c:pt idx="14">
                  <c:v>2.5118900000000002</c:v>
                </c:pt>
                <c:pt idx="15">
                  <c:v>3.16228</c:v>
                </c:pt>
                <c:pt idx="16">
                  <c:v>3.9810699999999999</c:v>
                </c:pt>
                <c:pt idx="17">
                  <c:v>5.01187</c:v>
                </c:pt>
                <c:pt idx="18">
                  <c:v>6.3095800000000004</c:v>
                </c:pt>
                <c:pt idx="19">
                  <c:v>7.9432900000000002</c:v>
                </c:pt>
                <c:pt idx="20">
                  <c:v>10</c:v>
                </c:pt>
                <c:pt idx="21">
                  <c:v>12.5893</c:v>
                </c:pt>
                <c:pt idx="22">
                  <c:v>15.8489</c:v>
                </c:pt>
                <c:pt idx="23">
                  <c:v>19.9526</c:v>
                </c:pt>
                <c:pt idx="24">
                  <c:v>25.1189</c:v>
                </c:pt>
                <c:pt idx="25">
                  <c:v>31.622800000000002</c:v>
                </c:pt>
                <c:pt idx="26">
                  <c:v>39.810699999999997</c:v>
                </c:pt>
                <c:pt idx="27">
                  <c:v>50.1188</c:v>
                </c:pt>
                <c:pt idx="28">
                  <c:v>63.095799999999997</c:v>
                </c:pt>
                <c:pt idx="29">
                  <c:v>79.432900000000004</c:v>
                </c:pt>
                <c:pt idx="30">
                  <c:v>100</c:v>
                </c:pt>
              </c:numCache>
            </c:numRef>
          </c:xVal>
          <c:yVal>
            <c:numRef>
              <c:f>Worksheet!$D$250:$D$280</c:f>
              <c:numCache>
                <c:formatCode>0.00</c:formatCode>
                <c:ptCount val="31"/>
                <c:pt idx="0">
                  <c:v>543.29</c:v>
                </c:pt>
                <c:pt idx="1">
                  <c:v>552.25</c:v>
                </c:pt>
                <c:pt idx="2">
                  <c:v>559.91</c:v>
                </c:pt>
                <c:pt idx="3">
                  <c:v>566.72</c:v>
                </c:pt>
                <c:pt idx="4">
                  <c:v>572.95000000000005</c:v>
                </c:pt>
                <c:pt idx="5">
                  <c:v>578.65</c:v>
                </c:pt>
                <c:pt idx="6">
                  <c:v>584.34</c:v>
                </c:pt>
                <c:pt idx="7">
                  <c:v>589.48</c:v>
                </c:pt>
                <c:pt idx="8">
                  <c:v>594.61</c:v>
                </c:pt>
                <c:pt idx="9">
                  <c:v>599.52</c:v>
                </c:pt>
                <c:pt idx="10">
                  <c:v>604.28</c:v>
                </c:pt>
                <c:pt idx="11">
                  <c:v>608.78</c:v>
                </c:pt>
                <c:pt idx="12">
                  <c:v>613.41999999999996</c:v>
                </c:pt>
                <c:pt idx="13">
                  <c:v>618.21</c:v>
                </c:pt>
                <c:pt idx="14">
                  <c:v>622.83000000000004</c:v>
                </c:pt>
                <c:pt idx="15">
                  <c:v>627.13</c:v>
                </c:pt>
                <c:pt idx="16">
                  <c:v>631.64</c:v>
                </c:pt>
                <c:pt idx="17">
                  <c:v>635.94000000000005</c:v>
                </c:pt>
                <c:pt idx="18">
                  <c:v>640.39</c:v>
                </c:pt>
                <c:pt idx="19">
                  <c:v>644.57000000000005</c:v>
                </c:pt>
                <c:pt idx="20">
                  <c:v>648.91999999999996</c:v>
                </c:pt>
                <c:pt idx="21">
                  <c:v>653.16</c:v>
                </c:pt>
                <c:pt idx="22">
                  <c:v>657.39</c:v>
                </c:pt>
                <c:pt idx="23">
                  <c:v>661.71</c:v>
                </c:pt>
                <c:pt idx="24">
                  <c:v>665.71</c:v>
                </c:pt>
                <c:pt idx="25">
                  <c:v>669.68</c:v>
                </c:pt>
                <c:pt idx="26">
                  <c:v>674.04</c:v>
                </c:pt>
                <c:pt idx="27">
                  <c:v>678.11</c:v>
                </c:pt>
                <c:pt idx="28">
                  <c:v>682.01</c:v>
                </c:pt>
                <c:pt idx="29">
                  <c:v>685.76</c:v>
                </c:pt>
                <c:pt idx="30">
                  <c:v>689.56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CF8-4374-B006-A39798AB77B9}"/>
            </c:ext>
          </c:extLst>
        </c:ser>
        <c:ser>
          <c:idx val="9"/>
          <c:order val="9"/>
          <c:tx>
            <c:strRef>
              <c:f>Worksheet!$B$281</c:f>
              <c:strCache>
                <c:ptCount val="1"/>
                <c:pt idx="0">
                  <c:v>40 C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Worksheet!$A$281:$A$311</c:f>
              <c:numCache>
                <c:formatCode>0.00</c:formatCode>
                <c:ptCount val="31"/>
                <c:pt idx="0">
                  <c:v>0.1</c:v>
                </c:pt>
                <c:pt idx="1">
                  <c:v>0.12589</c:v>
                </c:pt>
                <c:pt idx="2">
                  <c:v>0.15848999999999999</c:v>
                </c:pt>
                <c:pt idx="3">
                  <c:v>0.19953000000000001</c:v>
                </c:pt>
                <c:pt idx="4">
                  <c:v>0.25119000000000002</c:v>
                </c:pt>
                <c:pt idx="5">
                  <c:v>0.31623000000000001</c:v>
                </c:pt>
                <c:pt idx="6">
                  <c:v>0.39811000000000002</c:v>
                </c:pt>
                <c:pt idx="7">
                  <c:v>0.50119000000000002</c:v>
                </c:pt>
                <c:pt idx="8">
                  <c:v>0.63095999999999997</c:v>
                </c:pt>
                <c:pt idx="9">
                  <c:v>0.79432999999999998</c:v>
                </c:pt>
                <c:pt idx="10">
                  <c:v>1</c:v>
                </c:pt>
                <c:pt idx="11">
                  <c:v>1.2589300000000001</c:v>
                </c:pt>
                <c:pt idx="12">
                  <c:v>1.5848899999999999</c:v>
                </c:pt>
                <c:pt idx="13">
                  <c:v>1.99526</c:v>
                </c:pt>
                <c:pt idx="14">
                  <c:v>2.5118900000000002</c:v>
                </c:pt>
                <c:pt idx="15">
                  <c:v>3.16228</c:v>
                </c:pt>
                <c:pt idx="16">
                  <c:v>3.9810699999999999</c:v>
                </c:pt>
                <c:pt idx="17">
                  <c:v>5.01187</c:v>
                </c:pt>
                <c:pt idx="18">
                  <c:v>6.3095800000000004</c:v>
                </c:pt>
                <c:pt idx="19">
                  <c:v>7.9432900000000002</c:v>
                </c:pt>
                <c:pt idx="20">
                  <c:v>10</c:v>
                </c:pt>
                <c:pt idx="21">
                  <c:v>12.5893</c:v>
                </c:pt>
                <c:pt idx="22">
                  <c:v>15.8489</c:v>
                </c:pt>
                <c:pt idx="23">
                  <c:v>19.9526</c:v>
                </c:pt>
                <c:pt idx="24">
                  <c:v>25.1189</c:v>
                </c:pt>
                <c:pt idx="25">
                  <c:v>31.622800000000002</c:v>
                </c:pt>
                <c:pt idx="26">
                  <c:v>39.810699999999997</c:v>
                </c:pt>
                <c:pt idx="27">
                  <c:v>50.1188</c:v>
                </c:pt>
                <c:pt idx="28">
                  <c:v>63.095799999999997</c:v>
                </c:pt>
                <c:pt idx="29">
                  <c:v>79.432900000000004</c:v>
                </c:pt>
                <c:pt idx="30">
                  <c:v>100</c:v>
                </c:pt>
              </c:numCache>
            </c:numRef>
          </c:xVal>
          <c:yVal>
            <c:numRef>
              <c:f>Worksheet!$D$281:$D$311</c:f>
              <c:numCache>
                <c:formatCode>0.00</c:formatCode>
                <c:ptCount val="31"/>
                <c:pt idx="0">
                  <c:v>478.58</c:v>
                </c:pt>
                <c:pt idx="1">
                  <c:v>487.23</c:v>
                </c:pt>
                <c:pt idx="2">
                  <c:v>494.79</c:v>
                </c:pt>
                <c:pt idx="3">
                  <c:v>501.89</c:v>
                </c:pt>
                <c:pt idx="4">
                  <c:v>508.58</c:v>
                </c:pt>
                <c:pt idx="5">
                  <c:v>514.37</c:v>
                </c:pt>
                <c:pt idx="6">
                  <c:v>520.38</c:v>
                </c:pt>
                <c:pt idx="7">
                  <c:v>525.66</c:v>
                </c:pt>
                <c:pt idx="8">
                  <c:v>530.98</c:v>
                </c:pt>
                <c:pt idx="9">
                  <c:v>536.11</c:v>
                </c:pt>
                <c:pt idx="10">
                  <c:v>541.27</c:v>
                </c:pt>
                <c:pt idx="11">
                  <c:v>546.02</c:v>
                </c:pt>
                <c:pt idx="12">
                  <c:v>551.08000000000004</c:v>
                </c:pt>
                <c:pt idx="13">
                  <c:v>555.71</c:v>
                </c:pt>
                <c:pt idx="14">
                  <c:v>560.34</c:v>
                </c:pt>
                <c:pt idx="15">
                  <c:v>564.85</c:v>
                </c:pt>
                <c:pt idx="16">
                  <c:v>569.29</c:v>
                </c:pt>
                <c:pt idx="17">
                  <c:v>573.77</c:v>
                </c:pt>
                <c:pt idx="18">
                  <c:v>578.38</c:v>
                </c:pt>
                <c:pt idx="19">
                  <c:v>582.77</c:v>
                </c:pt>
                <c:pt idx="20">
                  <c:v>587.02</c:v>
                </c:pt>
                <c:pt idx="21">
                  <c:v>591.61</c:v>
                </c:pt>
                <c:pt idx="22">
                  <c:v>596.04999999999995</c:v>
                </c:pt>
                <c:pt idx="23">
                  <c:v>600.21</c:v>
                </c:pt>
                <c:pt idx="24">
                  <c:v>604.59</c:v>
                </c:pt>
                <c:pt idx="25">
                  <c:v>608.63</c:v>
                </c:pt>
                <c:pt idx="26">
                  <c:v>613.08000000000004</c:v>
                </c:pt>
                <c:pt idx="27">
                  <c:v>617.15</c:v>
                </c:pt>
                <c:pt idx="28">
                  <c:v>621.33000000000004</c:v>
                </c:pt>
                <c:pt idx="29">
                  <c:v>625.25</c:v>
                </c:pt>
                <c:pt idx="30">
                  <c:v>629.04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CF8-4374-B006-A39798AB77B9}"/>
            </c:ext>
          </c:extLst>
        </c:ser>
        <c:ser>
          <c:idx val="10"/>
          <c:order val="10"/>
          <c:tx>
            <c:strRef>
              <c:f>Worksheet!$B$312</c:f>
              <c:strCache>
                <c:ptCount val="1"/>
                <c:pt idx="0">
                  <c:v>50 C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Worksheet!$A$312:$A$342</c:f>
              <c:numCache>
                <c:formatCode>0.00</c:formatCode>
                <c:ptCount val="31"/>
                <c:pt idx="0">
                  <c:v>0.1</c:v>
                </c:pt>
                <c:pt idx="1">
                  <c:v>0.12589</c:v>
                </c:pt>
                <c:pt idx="2">
                  <c:v>0.15848999999999999</c:v>
                </c:pt>
                <c:pt idx="3">
                  <c:v>0.19953000000000001</c:v>
                </c:pt>
                <c:pt idx="4">
                  <c:v>0.25119000000000002</c:v>
                </c:pt>
                <c:pt idx="5">
                  <c:v>0.31623000000000001</c:v>
                </c:pt>
                <c:pt idx="6">
                  <c:v>0.39811000000000002</c:v>
                </c:pt>
                <c:pt idx="7">
                  <c:v>0.50119000000000002</c:v>
                </c:pt>
                <c:pt idx="8">
                  <c:v>0.63095999999999997</c:v>
                </c:pt>
                <c:pt idx="9">
                  <c:v>0.79432999999999998</c:v>
                </c:pt>
                <c:pt idx="10">
                  <c:v>1</c:v>
                </c:pt>
                <c:pt idx="11">
                  <c:v>1.2589300000000001</c:v>
                </c:pt>
                <c:pt idx="12">
                  <c:v>1.5848899999999999</c:v>
                </c:pt>
                <c:pt idx="13">
                  <c:v>1.99526</c:v>
                </c:pt>
                <c:pt idx="14">
                  <c:v>2.5118900000000002</c:v>
                </c:pt>
                <c:pt idx="15">
                  <c:v>3.16228</c:v>
                </c:pt>
                <c:pt idx="16">
                  <c:v>3.9810699999999999</c:v>
                </c:pt>
                <c:pt idx="17">
                  <c:v>5.01187</c:v>
                </c:pt>
                <c:pt idx="18">
                  <c:v>6.3095800000000004</c:v>
                </c:pt>
                <c:pt idx="19">
                  <c:v>7.9432900000000002</c:v>
                </c:pt>
                <c:pt idx="20">
                  <c:v>10</c:v>
                </c:pt>
                <c:pt idx="21">
                  <c:v>12.5893</c:v>
                </c:pt>
                <c:pt idx="22">
                  <c:v>15.8489</c:v>
                </c:pt>
                <c:pt idx="23">
                  <c:v>19.9526</c:v>
                </c:pt>
                <c:pt idx="24">
                  <c:v>25.1189</c:v>
                </c:pt>
                <c:pt idx="25">
                  <c:v>31.622800000000002</c:v>
                </c:pt>
                <c:pt idx="26">
                  <c:v>39.810699999999997</c:v>
                </c:pt>
                <c:pt idx="27">
                  <c:v>50.1188</c:v>
                </c:pt>
                <c:pt idx="28">
                  <c:v>63.095799999999997</c:v>
                </c:pt>
                <c:pt idx="29">
                  <c:v>79.432900000000004</c:v>
                </c:pt>
                <c:pt idx="30">
                  <c:v>100</c:v>
                </c:pt>
              </c:numCache>
            </c:numRef>
          </c:xVal>
          <c:yVal>
            <c:numRef>
              <c:f>Worksheet!$D$312:$D$342</c:f>
              <c:numCache>
                <c:formatCode>0.00</c:formatCode>
                <c:ptCount val="31"/>
                <c:pt idx="0">
                  <c:v>404.02</c:v>
                </c:pt>
                <c:pt idx="1">
                  <c:v>413.42</c:v>
                </c:pt>
                <c:pt idx="2">
                  <c:v>422.06</c:v>
                </c:pt>
                <c:pt idx="3">
                  <c:v>430</c:v>
                </c:pt>
                <c:pt idx="4">
                  <c:v>437.15</c:v>
                </c:pt>
                <c:pt idx="5">
                  <c:v>443.95</c:v>
                </c:pt>
                <c:pt idx="6">
                  <c:v>449.84</c:v>
                </c:pt>
                <c:pt idx="7">
                  <c:v>456.35</c:v>
                </c:pt>
                <c:pt idx="8">
                  <c:v>461.97</c:v>
                </c:pt>
                <c:pt idx="9">
                  <c:v>467.78</c:v>
                </c:pt>
                <c:pt idx="10">
                  <c:v>473.13</c:v>
                </c:pt>
                <c:pt idx="11">
                  <c:v>478.17</c:v>
                </c:pt>
                <c:pt idx="12">
                  <c:v>483.42</c:v>
                </c:pt>
                <c:pt idx="13">
                  <c:v>488.6</c:v>
                </c:pt>
                <c:pt idx="14">
                  <c:v>493.56</c:v>
                </c:pt>
                <c:pt idx="15">
                  <c:v>498.42</c:v>
                </c:pt>
                <c:pt idx="16">
                  <c:v>503.32</c:v>
                </c:pt>
                <c:pt idx="17">
                  <c:v>508.18</c:v>
                </c:pt>
                <c:pt idx="18">
                  <c:v>512.77</c:v>
                </c:pt>
                <c:pt idx="19">
                  <c:v>517.41999999999996</c:v>
                </c:pt>
                <c:pt idx="20">
                  <c:v>522.32000000000005</c:v>
                </c:pt>
                <c:pt idx="21">
                  <c:v>527.14</c:v>
                </c:pt>
                <c:pt idx="22">
                  <c:v>531.72</c:v>
                </c:pt>
                <c:pt idx="23">
                  <c:v>536.28</c:v>
                </c:pt>
                <c:pt idx="24">
                  <c:v>540.83000000000004</c:v>
                </c:pt>
                <c:pt idx="25">
                  <c:v>545.48</c:v>
                </c:pt>
                <c:pt idx="26">
                  <c:v>549.66999999999996</c:v>
                </c:pt>
                <c:pt idx="27">
                  <c:v>553.98</c:v>
                </c:pt>
                <c:pt idx="28">
                  <c:v>558.04999999999995</c:v>
                </c:pt>
                <c:pt idx="29">
                  <c:v>562.47</c:v>
                </c:pt>
                <c:pt idx="30">
                  <c:v>566.61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CF8-4374-B006-A39798AB77B9}"/>
            </c:ext>
          </c:extLst>
        </c:ser>
        <c:ser>
          <c:idx val="11"/>
          <c:order val="11"/>
          <c:tx>
            <c:strRef>
              <c:f>Worksheet!$B$343</c:f>
              <c:strCache>
                <c:ptCount val="1"/>
                <c:pt idx="0">
                  <c:v>60 C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Worksheet!$A$343:$A$373</c:f>
              <c:numCache>
                <c:formatCode>0.00</c:formatCode>
                <c:ptCount val="31"/>
                <c:pt idx="0">
                  <c:v>0.1</c:v>
                </c:pt>
                <c:pt idx="1">
                  <c:v>0.12589</c:v>
                </c:pt>
                <c:pt idx="2">
                  <c:v>0.15848999999999999</c:v>
                </c:pt>
                <c:pt idx="3">
                  <c:v>0.19953000000000001</c:v>
                </c:pt>
                <c:pt idx="4">
                  <c:v>0.25119000000000002</c:v>
                </c:pt>
                <c:pt idx="5">
                  <c:v>0.31623000000000001</c:v>
                </c:pt>
                <c:pt idx="6">
                  <c:v>0.39811000000000002</c:v>
                </c:pt>
                <c:pt idx="7">
                  <c:v>0.50119000000000002</c:v>
                </c:pt>
                <c:pt idx="8">
                  <c:v>0.63095999999999997</c:v>
                </c:pt>
                <c:pt idx="9">
                  <c:v>0.79432999999999998</c:v>
                </c:pt>
                <c:pt idx="10">
                  <c:v>1</c:v>
                </c:pt>
                <c:pt idx="11">
                  <c:v>1.2589300000000001</c:v>
                </c:pt>
                <c:pt idx="12">
                  <c:v>1.5848899999999999</c:v>
                </c:pt>
                <c:pt idx="13">
                  <c:v>1.99526</c:v>
                </c:pt>
                <c:pt idx="14">
                  <c:v>2.5118900000000002</c:v>
                </c:pt>
                <c:pt idx="15">
                  <c:v>3.16228</c:v>
                </c:pt>
                <c:pt idx="16">
                  <c:v>3.9810699999999999</c:v>
                </c:pt>
                <c:pt idx="17">
                  <c:v>5.01187</c:v>
                </c:pt>
                <c:pt idx="18">
                  <c:v>6.3095800000000004</c:v>
                </c:pt>
                <c:pt idx="19">
                  <c:v>7.9432900000000002</c:v>
                </c:pt>
                <c:pt idx="20">
                  <c:v>10</c:v>
                </c:pt>
                <c:pt idx="21">
                  <c:v>12.5893</c:v>
                </c:pt>
                <c:pt idx="22">
                  <c:v>15.8489</c:v>
                </c:pt>
                <c:pt idx="23">
                  <c:v>19.9526</c:v>
                </c:pt>
                <c:pt idx="24">
                  <c:v>25.1189</c:v>
                </c:pt>
                <c:pt idx="25">
                  <c:v>31.622800000000002</c:v>
                </c:pt>
                <c:pt idx="26">
                  <c:v>39.810699999999997</c:v>
                </c:pt>
                <c:pt idx="27">
                  <c:v>50.1188</c:v>
                </c:pt>
                <c:pt idx="28">
                  <c:v>63.095799999999997</c:v>
                </c:pt>
                <c:pt idx="29">
                  <c:v>79.432900000000004</c:v>
                </c:pt>
                <c:pt idx="30">
                  <c:v>100</c:v>
                </c:pt>
              </c:numCache>
            </c:numRef>
          </c:xVal>
          <c:yVal>
            <c:numRef>
              <c:f>Worksheet!$D$343:$D$373</c:f>
              <c:numCache>
                <c:formatCode>0.00</c:formatCode>
                <c:ptCount val="31"/>
                <c:pt idx="0">
                  <c:v>321.64999999999998</c:v>
                </c:pt>
                <c:pt idx="1">
                  <c:v>332.16</c:v>
                </c:pt>
                <c:pt idx="2">
                  <c:v>342.17</c:v>
                </c:pt>
                <c:pt idx="3">
                  <c:v>351.04</c:v>
                </c:pt>
                <c:pt idx="4">
                  <c:v>358.97</c:v>
                </c:pt>
                <c:pt idx="5">
                  <c:v>366.78</c:v>
                </c:pt>
                <c:pt idx="6">
                  <c:v>373.73</c:v>
                </c:pt>
                <c:pt idx="7">
                  <c:v>380.49</c:v>
                </c:pt>
                <c:pt idx="8">
                  <c:v>387.17</c:v>
                </c:pt>
                <c:pt idx="9">
                  <c:v>393.67</c:v>
                </c:pt>
                <c:pt idx="10">
                  <c:v>399.79</c:v>
                </c:pt>
                <c:pt idx="11">
                  <c:v>405.62</c:v>
                </c:pt>
                <c:pt idx="12">
                  <c:v>411.26</c:v>
                </c:pt>
                <c:pt idx="13">
                  <c:v>416.59</c:v>
                </c:pt>
                <c:pt idx="14">
                  <c:v>422.07</c:v>
                </c:pt>
                <c:pt idx="15">
                  <c:v>427.64</c:v>
                </c:pt>
                <c:pt idx="16">
                  <c:v>433.15</c:v>
                </c:pt>
                <c:pt idx="17">
                  <c:v>438.28</c:v>
                </c:pt>
                <c:pt idx="18">
                  <c:v>443.44</c:v>
                </c:pt>
                <c:pt idx="19">
                  <c:v>448.6</c:v>
                </c:pt>
                <c:pt idx="20">
                  <c:v>453.82</c:v>
                </c:pt>
                <c:pt idx="21">
                  <c:v>458.91</c:v>
                </c:pt>
                <c:pt idx="22">
                  <c:v>464</c:v>
                </c:pt>
                <c:pt idx="23">
                  <c:v>468.95</c:v>
                </c:pt>
                <c:pt idx="24">
                  <c:v>473.85</c:v>
                </c:pt>
                <c:pt idx="25">
                  <c:v>478.83</c:v>
                </c:pt>
                <c:pt idx="26">
                  <c:v>483.47</c:v>
                </c:pt>
                <c:pt idx="27">
                  <c:v>488.16</c:v>
                </c:pt>
                <c:pt idx="28">
                  <c:v>492.75</c:v>
                </c:pt>
                <c:pt idx="29">
                  <c:v>497.31</c:v>
                </c:pt>
                <c:pt idx="30">
                  <c:v>501.8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CF8-4374-B006-A39798AB77B9}"/>
            </c:ext>
          </c:extLst>
        </c:ser>
        <c:ser>
          <c:idx val="12"/>
          <c:order val="12"/>
          <c:tx>
            <c:strRef>
              <c:f>Worksheet!$B$374</c:f>
              <c:strCache>
                <c:ptCount val="1"/>
                <c:pt idx="0">
                  <c:v>70 C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Worksheet!$A$374:$A$404</c:f>
              <c:numCache>
                <c:formatCode>0.00</c:formatCode>
                <c:ptCount val="31"/>
                <c:pt idx="0">
                  <c:v>0.1</c:v>
                </c:pt>
                <c:pt idx="1">
                  <c:v>0.12589</c:v>
                </c:pt>
                <c:pt idx="2">
                  <c:v>0.15848999999999999</c:v>
                </c:pt>
                <c:pt idx="3">
                  <c:v>0.19953000000000001</c:v>
                </c:pt>
                <c:pt idx="4">
                  <c:v>0.25119000000000002</c:v>
                </c:pt>
                <c:pt idx="5">
                  <c:v>0.31623000000000001</c:v>
                </c:pt>
                <c:pt idx="6">
                  <c:v>0.39811000000000002</c:v>
                </c:pt>
                <c:pt idx="7">
                  <c:v>0.50119000000000002</c:v>
                </c:pt>
                <c:pt idx="8">
                  <c:v>0.63095999999999997</c:v>
                </c:pt>
                <c:pt idx="9">
                  <c:v>0.79432999999999998</c:v>
                </c:pt>
                <c:pt idx="10">
                  <c:v>1</c:v>
                </c:pt>
                <c:pt idx="11">
                  <c:v>1.2589300000000001</c:v>
                </c:pt>
                <c:pt idx="12">
                  <c:v>1.5848899999999999</c:v>
                </c:pt>
                <c:pt idx="13">
                  <c:v>1.99526</c:v>
                </c:pt>
                <c:pt idx="14">
                  <c:v>2.5118900000000002</c:v>
                </c:pt>
                <c:pt idx="15">
                  <c:v>3.16228</c:v>
                </c:pt>
                <c:pt idx="16">
                  <c:v>3.9810699999999999</c:v>
                </c:pt>
                <c:pt idx="17">
                  <c:v>5.01187</c:v>
                </c:pt>
                <c:pt idx="18">
                  <c:v>6.3095800000000004</c:v>
                </c:pt>
                <c:pt idx="19">
                  <c:v>7.9432900000000002</c:v>
                </c:pt>
                <c:pt idx="20">
                  <c:v>10</c:v>
                </c:pt>
                <c:pt idx="21">
                  <c:v>12.5893</c:v>
                </c:pt>
                <c:pt idx="22">
                  <c:v>15.8489</c:v>
                </c:pt>
                <c:pt idx="23">
                  <c:v>19.9526</c:v>
                </c:pt>
                <c:pt idx="24">
                  <c:v>25.1189</c:v>
                </c:pt>
                <c:pt idx="25">
                  <c:v>31.622800000000002</c:v>
                </c:pt>
                <c:pt idx="26">
                  <c:v>39.810699999999997</c:v>
                </c:pt>
                <c:pt idx="27">
                  <c:v>50.1188</c:v>
                </c:pt>
                <c:pt idx="28">
                  <c:v>63.095799999999997</c:v>
                </c:pt>
                <c:pt idx="29">
                  <c:v>79.432900000000004</c:v>
                </c:pt>
                <c:pt idx="30">
                  <c:v>100</c:v>
                </c:pt>
              </c:numCache>
            </c:numRef>
          </c:xVal>
          <c:yVal>
            <c:numRef>
              <c:f>Worksheet!$D$374:$D$404</c:f>
              <c:numCache>
                <c:formatCode>0.00</c:formatCode>
                <c:ptCount val="31"/>
                <c:pt idx="0">
                  <c:v>236.91</c:v>
                </c:pt>
                <c:pt idx="1">
                  <c:v>248.86</c:v>
                </c:pt>
                <c:pt idx="2">
                  <c:v>259.51</c:v>
                </c:pt>
                <c:pt idx="3">
                  <c:v>269.23</c:v>
                </c:pt>
                <c:pt idx="4">
                  <c:v>277.77999999999997</c:v>
                </c:pt>
                <c:pt idx="5">
                  <c:v>285.68</c:v>
                </c:pt>
                <c:pt idx="6">
                  <c:v>292.95</c:v>
                </c:pt>
                <c:pt idx="7">
                  <c:v>300.45</c:v>
                </c:pt>
                <c:pt idx="8">
                  <c:v>307.39999999999998</c:v>
                </c:pt>
                <c:pt idx="9">
                  <c:v>314.16000000000003</c:v>
                </c:pt>
                <c:pt idx="10">
                  <c:v>320.82</c:v>
                </c:pt>
                <c:pt idx="11">
                  <c:v>327.04000000000002</c:v>
                </c:pt>
                <c:pt idx="12">
                  <c:v>333.29</c:v>
                </c:pt>
                <c:pt idx="13">
                  <c:v>339.39</c:v>
                </c:pt>
                <c:pt idx="14">
                  <c:v>345.2</c:v>
                </c:pt>
                <c:pt idx="15">
                  <c:v>350.96</c:v>
                </c:pt>
                <c:pt idx="16">
                  <c:v>356.77</c:v>
                </c:pt>
                <c:pt idx="17">
                  <c:v>362.46</c:v>
                </c:pt>
                <c:pt idx="18">
                  <c:v>371</c:v>
                </c:pt>
                <c:pt idx="19">
                  <c:v>373.73</c:v>
                </c:pt>
                <c:pt idx="20">
                  <c:v>379.25</c:v>
                </c:pt>
                <c:pt idx="21">
                  <c:v>384.8</c:v>
                </c:pt>
                <c:pt idx="22">
                  <c:v>390.32</c:v>
                </c:pt>
                <c:pt idx="23">
                  <c:v>395.76</c:v>
                </c:pt>
                <c:pt idx="24">
                  <c:v>401.22</c:v>
                </c:pt>
                <c:pt idx="25">
                  <c:v>406.21</c:v>
                </c:pt>
                <c:pt idx="26">
                  <c:v>411.57</c:v>
                </c:pt>
                <c:pt idx="27">
                  <c:v>416.82</c:v>
                </c:pt>
                <c:pt idx="28">
                  <c:v>421.9</c:v>
                </c:pt>
                <c:pt idx="29">
                  <c:v>427.09</c:v>
                </c:pt>
                <c:pt idx="30">
                  <c:v>431.92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0CF8-4374-B006-A39798AB77B9}"/>
            </c:ext>
          </c:extLst>
        </c:ser>
        <c:ser>
          <c:idx val="13"/>
          <c:order val="13"/>
          <c:tx>
            <c:strRef>
              <c:f>Worksheet!$B$405</c:f>
              <c:strCache>
                <c:ptCount val="1"/>
                <c:pt idx="0">
                  <c:v>80 C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Worksheet!$A$405:$A$435</c:f>
              <c:numCache>
                <c:formatCode>0.00</c:formatCode>
                <c:ptCount val="31"/>
                <c:pt idx="0">
                  <c:v>0.1</c:v>
                </c:pt>
                <c:pt idx="1">
                  <c:v>0.12589</c:v>
                </c:pt>
                <c:pt idx="2">
                  <c:v>0.15848999999999999</c:v>
                </c:pt>
                <c:pt idx="3">
                  <c:v>0.19953000000000001</c:v>
                </c:pt>
                <c:pt idx="4">
                  <c:v>0.25119000000000002</c:v>
                </c:pt>
                <c:pt idx="5">
                  <c:v>0.31623000000000001</c:v>
                </c:pt>
                <c:pt idx="6">
                  <c:v>0.39811000000000002</c:v>
                </c:pt>
                <c:pt idx="7">
                  <c:v>0.50119000000000002</c:v>
                </c:pt>
                <c:pt idx="8">
                  <c:v>0.63095999999999997</c:v>
                </c:pt>
                <c:pt idx="9">
                  <c:v>0.79432999999999998</c:v>
                </c:pt>
                <c:pt idx="10">
                  <c:v>1</c:v>
                </c:pt>
                <c:pt idx="11">
                  <c:v>1.2589300000000001</c:v>
                </c:pt>
                <c:pt idx="12">
                  <c:v>1.5848899999999999</c:v>
                </c:pt>
                <c:pt idx="13">
                  <c:v>1.99526</c:v>
                </c:pt>
                <c:pt idx="14">
                  <c:v>2.5118900000000002</c:v>
                </c:pt>
                <c:pt idx="15">
                  <c:v>3.16228</c:v>
                </c:pt>
                <c:pt idx="16">
                  <c:v>3.9810699999999999</c:v>
                </c:pt>
                <c:pt idx="17">
                  <c:v>5.01187</c:v>
                </c:pt>
                <c:pt idx="18">
                  <c:v>6.3095800000000004</c:v>
                </c:pt>
                <c:pt idx="19">
                  <c:v>7.9432900000000002</c:v>
                </c:pt>
                <c:pt idx="20">
                  <c:v>10</c:v>
                </c:pt>
                <c:pt idx="21">
                  <c:v>12.5893</c:v>
                </c:pt>
                <c:pt idx="22">
                  <c:v>15.8489</c:v>
                </c:pt>
                <c:pt idx="23">
                  <c:v>19.9526</c:v>
                </c:pt>
                <c:pt idx="24">
                  <c:v>25.1189</c:v>
                </c:pt>
                <c:pt idx="25">
                  <c:v>31.622800000000002</c:v>
                </c:pt>
                <c:pt idx="26">
                  <c:v>39.810699999999997</c:v>
                </c:pt>
                <c:pt idx="27">
                  <c:v>50.1188</c:v>
                </c:pt>
                <c:pt idx="28">
                  <c:v>63.095799999999997</c:v>
                </c:pt>
                <c:pt idx="29">
                  <c:v>79.432900000000004</c:v>
                </c:pt>
                <c:pt idx="30">
                  <c:v>100</c:v>
                </c:pt>
              </c:numCache>
            </c:numRef>
          </c:xVal>
          <c:yVal>
            <c:numRef>
              <c:f>Worksheet!$D$405:$D$435</c:f>
              <c:numCache>
                <c:formatCode>0.00</c:formatCode>
                <c:ptCount val="31"/>
                <c:pt idx="0">
                  <c:v>150.52000000000001</c:v>
                </c:pt>
                <c:pt idx="1">
                  <c:v>160</c:v>
                </c:pt>
                <c:pt idx="2">
                  <c:v>170.56</c:v>
                </c:pt>
                <c:pt idx="3">
                  <c:v>179.78</c:v>
                </c:pt>
                <c:pt idx="4">
                  <c:v>188.72</c:v>
                </c:pt>
                <c:pt idx="5">
                  <c:v>197.3</c:v>
                </c:pt>
                <c:pt idx="6">
                  <c:v>205.02</c:v>
                </c:pt>
                <c:pt idx="7">
                  <c:v>212.64</c:v>
                </c:pt>
                <c:pt idx="8">
                  <c:v>219.61</c:v>
                </c:pt>
                <c:pt idx="9">
                  <c:v>226.56</c:v>
                </c:pt>
                <c:pt idx="10">
                  <c:v>233.13</c:v>
                </c:pt>
                <c:pt idx="11">
                  <c:v>239.93</c:v>
                </c:pt>
                <c:pt idx="12">
                  <c:v>246.34</c:v>
                </c:pt>
                <c:pt idx="13">
                  <c:v>252.72</c:v>
                </c:pt>
                <c:pt idx="14">
                  <c:v>258.86</c:v>
                </c:pt>
                <c:pt idx="15">
                  <c:v>265.27999999999997</c:v>
                </c:pt>
                <c:pt idx="16">
                  <c:v>271.3</c:v>
                </c:pt>
                <c:pt idx="17">
                  <c:v>277.18</c:v>
                </c:pt>
                <c:pt idx="18">
                  <c:v>283.14999999999998</c:v>
                </c:pt>
                <c:pt idx="19">
                  <c:v>289.04000000000002</c:v>
                </c:pt>
                <c:pt idx="20">
                  <c:v>294.93</c:v>
                </c:pt>
                <c:pt idx="21">
                  <c:v>300.88</c:v>
                </c:pt>
                <c:pt idx="22">
                  <c:v>306.91000000000003</c:v>
                </c:pt>
                <c:pt idx="23">
                  <c:v>312.8</c:v>
                </c:pt>
                <c:pt idx="24">
                  <c:v>318.60000000000002</c:v>
                </c:pt>
                <c:pt idx="25">
                  <c:v>324.39999999999998</c:v>
                </c:pt>
                <c:pt idx="26">
                  <c:v>330.35</c:v>
                </c:pt>
                <c:pt idx="27">
                  <c:v>336.28</c:v>
                </c:pt>
                <c:pt idx="28">
                  <c:v>341.82</c:v>
                </c:pt>
                <c:pt idx="29">
                  <c:v>347.45</c:v>
                </c:pt>
                <c:pt idx="30">
                  <c:v>352.94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0CF8-4374-B006-A39798AB77B9}"/>
            </c:ext>
          </c:extLst>
        </c:ser>
        <c:ser>
          <c:idx val="14"/>
          <c:order val="14"/>
          <c:tx>
            <c:strRef>
              <c:f>Worksheet!$B$436</c:f>
              <c:strCache>
                <c:ptCount val="1"/>
                <c:pt idx="0">
                  <c:v>90 C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Worksheet!$A$436:$A$466</c:f>
              <c:numCache>
                <c:formatCode>0.00</c:formatCode>
                <c:ptCount val="31"/>
                <c:pt idx="0">
                  <c:v>0.1</c:v>
                </c:pt>
                <c:pt idx="1">
                  <c:v>0.12589</c:v>
                </c:pt>
                <c:pt idx="2">
                  <c:v>0.15848999999999999</c:v>
                </c:pt>
                <c:pt idx="3">
                  <c:v>0.19953000000000001</c:v>
                </c:pt>
                <c:pt idx="4">
                  <c:v>0.25119000000000002</c:v>
                </c:pt>
                <c:pt idx="5">
                  <c:v>0.31623000000000001</c:v>
                </c:pt>
                <c:pt idx="6">
                  <c:v>0.39811000000000002</c:v>
                </c:pt>
                <c:pt idx="7">
                  <c:v>0.50119000000000002</c:v>
                </c:pt>
                <c:pt idx="8">
                  <c:v>0.63095999999999997</c:v>
                </c:pt>
                <c:pt idx="9">
                  <c:v>0.79432999999999998</c:v>
                </c:pt>
                <c:pt idx="10">
                  <c:v>1</c:v>
                </c:pt>
                <c:pt idx="11">
                  <c:v>1.2589300000000001</c:v>
                </c:pt>
                <c:pt idx="12">
                  <c:v>1.5848899999999999</c:v>
                </c:pt>
                <c:pt idx="13">
                  <c:v>1.99526</c:v>
                </c:pt>
                <c:pt idx="14">
                  <c:v>2.5118900000000002</c:v>
                </c:pt>
                <c:pt idx="15">
                  <c:v>3.16228</c:v>
                </c:pt>
                <c:pt idx="16">
                  <c:v>3.9810699999999999</c:v>
                </c:pt>
                <c:pt idx="17">
                  <c:v>5.01187</c:v>
                </c:pt>
                <c:pt idx="18">
                  <c:v>6.3095800000000004</c:v>
                </c:pt>
                <c:pt idx="19">
                  <c:v>7.9432900000000002</c:v>
                </c:pt>
                <c:pt idx="20">
                  <c:v>10</c:v>
                </c:pt>
                <c:pt idx="21">
                  <c:v>12.5893</c:v>
                </c:pt>
                <c:pt idx="22">
                  <c:v>15.8489</c:v>
                </c:pt>
                <c:pt idx="23">
                  <c:v>19.9526</c:v>
                </c:pt>
                <c:pt idx="24">
                  <c:v>25.1189</c:v>
                </c:pt>
                <c:pt idx="25">
                  <c:v>31.622800000000002</c:v>
                </c:pt>
                <c:pt idx="26">
                  <c:v>39.810699999999997</c:v>
                </c:pt>
                <c:pt idx="27">
                  <c:v>50.1188</c:v>
                </c:pt>
                <c:pt idx="28">
                  <c:v>63.095799999999997</c:v>
                </c:pt>
                <c:pt idx="29">
                  <c:v>79.432900000000004</c:v>
                </c:pt>
                <c:pt idx="30">
                  <c:v>100</c:v>
                </c:pt>
              </c:numCache>
            </c:numRef>
          </c:xVal>
          <c:yVal>
            <c:numRef>
              <c:f>Worksheet!$D$436:$D$466</c:f>
              <c:numCache>
                <c:formatCode>0.00</c:formatCode>
                <c:ptCount val="31"/>
                <c:pt idx="0">
                  <c:v>73.572000000000003</c:v>
                </c:pt>
                <c:pt idx="1">
                  <c:v>79.784999999999997</c:v>
                </c:pt>
                <c:pt idx="2">
                  <c:v>86.429000000000002</c:v>
                </c:pt>
                <c:pt idx="3">
                  <c:v>92.691999999999993</c:v>
                </c:pt>
                <c:pt idx="4">
                  <c:v>99.697999999999993</c:v>
                </c:pt>
                <c:pt idx="5">
                  <c:v>106.07</c:v>
                </c:pt>
                <c:pt idx="6">
                  <c:v>111.83</c:v>
                </c:pt>
                <c:pt idx="7">
                  <c:v>117.95</c:v>
                </c:pt>
                <c:pt idx="8">
                  <c:v>124.06</c:v>
                </c:pt>
                <c:pt idx="9">
                  <c:v>130.22</c:v>
                </c:pt>
                <c:pt idx="10">
                  <c:v>136.22</c:v>
                </c:pt>
                <c:pt idx="11">
                  <c:v>142.21</c:v>
                </c:pt>
                <c:pt idx="12">
                  <c:v>148.26</c:v>
                </c:pt>
                <c:pt idx="13">
                  <c:v>154.27000000000001</c:v>
                </c:pt>
                <c:pt idx="14">
                  <c:v>160.19999999999999</c:v>
                </c:pt>
                <c:pt idx="15">
                  <c:v>166.22</c:v>
                </c:pt>
                <c:pt idx="16">
                  <c:v>172.34</c:v>
                </c:pt>
                <c:pt idx="17">
                  <c:v>178.46</c:v>
                </c:pt>
                <c:pt idx="18">
                  <c:v>184.63</c:v>
                </c:pt>
                <c:pt idx="19">
                  <c:v>190.62</c:v>
                </c:pt>
                <c:pt idx="20">
                  <c:v>196.83</c:v>
                </c:pt>
                <c:pt idx="21">
                  <c:v>203.24</c:v>
                </c:pt>
                <c:pt idx="22">
                  <c:v>209.64</c:v>
                </c:pt>
                <c:pt idx="23">
                  <c:v>215.95</c:v>
                </c:pt>
                <c:pt idx="24">
                  <c:v>222.17</c:v>
                </c:pt>
                <c:pt idx="25">
                  <c:v>228.28</c:v>
                </c:pt>
                <c:pt idx="26">
                  <c:v>234.41</c:v>
                </c:pt>
                <c:pt idx="27">
                  <c:v>240.46</c:v>
                </c:pt>
                <c:pt idx="28">
                  <c:v>246.49</c:v>
                </c:pt>
                <c:pt idx="29">
                  <c:v>252.73</c:v>
                </c:pt>
                <c:pt idx="30">
                  <c:v>258.8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0CF8-4374-B006-A39798AB77B9}"/>
            </c:ext>
          </c:extLst>
        </c:ser>
        <c:ser>
          <c:idx val="15"/>
          <c:order val="15"/>
          <c:tx>
            <c:strRef>
              <c:f>Worksheet!$B$467</c:f>
              <c:strCache>
                <c:ptCount val="1"/>
                <c:pt idx="0">
                  <c:v>100 C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Worksheet!$A$467:$A$497</c:f>
              <c:numCache>
                <c:formatCode>0.00</c:formatCode>
                <c:ptCount val="31"/>
                <c:pt idx="0">
                  <c:v>0.1</c:v>
                </c:pt>
                <c:pt idx="1">
                  <c:v>0.12589</c:v>
                </c:pt>
                <c:pt idx="2">
                  <c:v>0.15848999999999999</c:v>
                </c:pt>
                <c:pt idx="3">
                  <c:v>0.19953000000000001</c:v>
                </c:pt>
                <c:pt idx="4">
                  <c:v>0.25119000000000002</c:v>
                </c:pt>
                <c:pt idx="5">
                  <c:v>0.31623000000000001</c:v>
                </c:pt>
                <c:pt idx="6">
                  <c:v>0.39811000000000002</c:v>
                </c:pt>
                <c:pt idx="7">
                  <c:v>0.50119000000000002</c:v>
                </c:pt>
                <c:pt idx="8">
                  <c:v>0.63095999999999997</c:v>
                </c:pt>
                <c:pt idx="9">
                  <c:v>0.79432999999999998</c:v>
                </c:pt>
                <c:pt idx="10">
                  <c:v>1</c:v>
                </c:pt>
                <c:pt idx="11">
                  <c:v>1.2589300000000001</c:v>
                </c:pt>
                <c:pt idx="12">
                  <c:v>1.5848899999999999</c:v>
                </c:pt>
                <c:pt idx="13">
                  <c:v>1.99526</c:v>
                </c:pt>
                <c:pt idx="14">
                  <c:v>2.5118900000000002</c:v>
                </c:pt>
                <c:pt idx="15">
                  <c:v>3.16228</c:v>
                </c:pt>
                <c:pt idx="16">
                  <c:v>3.9810699999999999</c:v>
                </c:pt>
                <c:pt idx="17">
                  <c:v>5.01187</c:v>
                </c:pt>
                <c:pt idx="18">
                  <c:v>6.3095800000000004</c:v>
                </c:pt>
                <c:pt idx="19">
                  <c:v>7.9432900000000002</c:v>
                </c:pt>
                <c:pt idx="20">
                  <c:v>10</c:v>
                </c:pt>
                <c:pt idx="21">
                  <c:v>12.5893</c:v>
                </c:pt>
                <c:pt idx="22">
                  <c:v>15.8489</c:v>
                </c:pt>
                <c:pt idx="23">
                  <c:v>19.9526</c:v>
                </c:pt>
                <c:pt idx="24">
                  <c:v>25.1189</c:v>
                </c:pt>
                <c:pt idx="25">
                  <c:v>31.622800000000002</c:v>
                </c:pt>
                <c:pt idx="26">
                  <c:v>39.810699999999997</c:v>
                </c:pt>
                <c:pt idx="27">
                  <c:v>50.1188</c:v>
                </c:pt>
                <c:pt idx="28">
                  <c:v>63.095799999999997</c:v>
                </c:pt>
                <c:pt idx="29">
                  <c:v>79.432900000000004</c:v>
                </c:pt>
                <c:pt idx="30">
                  <c:v>100</c:v>
                </c:pt>
              </c:numCache>
            </c:numRef>
          </c:xVal>
          <c:yVal>
            <c:numRef>
              <c:f>Worksheet!$D$467:$D$497</c:f>
              <c:numCache>
                <c:formatCode>0.00</c:formatCode>
                <c:ptCount val="31"/>
                <c:pt idx="0">
                  <c:v>24.742000000000001</c:v>
                </c:pt>
                <c:pt idx="1">
                  <c:v>26.524999999999999</c:v>
                </c:pt>
                <c:pt idx="2">
                  <c:v>28.934000000000001</c:v>
                </c:pt>
                <c:pt idx="3">
                  <c:v>31.670999999999999</c:v>
                </c:pt>
                <c:pt idx="4">
                  <c:v>34.381</c:v>
                </c:pt>
                <c:pt idx="5">
                  <c:v>37.043999999999997</c:v>
                </c:pt>
                <c:pt idx="6">
                  <c:v>40.185000000000002</c:v>
                </c:pt>
                <c:pt idx="7">
                  <c:v>43.411999999999999</c:v>
                </c:pt>
                <c:pt idx="8">
                  <c:v>46.624000000000002</c:v>
                </c:pt>
                <c:pt idx="9">
                  <c:v>50.085000000000001</c:v>
                </c:pt>
                <c:pt idx="10">
                  <c:v>53.843000000000004</c:v>
                </c:pt>
                <c:pt idx="11">
                  <c:v>57.594000000000001</c:v>
                </c:pt>
                <c:pt idx="12">
                  <c:v>61.521000000000001</c:v>
                </c:pt>
                <c:pt idx="13">
                  <c:v>65.504999999999995</c:v>
                </c:pt>
                <c:pt idx="14">
                  <c:v>69.784999999999997</c:v>
                </c:pt>
                <c:pt idx="15">
                  <c:v>74.066000000000003</c:v>
                </c:pt>
                <c:pt idx="16">
                  <c:v>78.521000000000001</c:v>
                </c:pt>
                <c:pt idx="17">
                  <c:v>83.106999999999999</c:v>
                </c:pt>
                <c:pt idx="18">
                  <c:v>88.046999999999997</c:v>
                </c:pt>
                <c:pt idx="19">
                  <c:v>93.177999999999997</c:v>
                </c:pt>
                <c:pt idx="20">
                  <c:v>98.412999999999997</c:v>
                </c:pt>
                <c:pt idx="21">
                  <c:v>103.78</c:v>
                </c:pt>
                <c:pt idx="22">
                  <c:v>109.17</c:v>
                </c:pt>
                <c:pt idx="23">
                  <c:v>114.57</c:v>
                </c:pt>
                <c:pt idx="24">
                  <c:v>120.39</c:v>
                </c:pt>
                <c:pt idx="25">
                  <c:v>126.23</c:v>
                </c:pt>
                <c:pt idx="26">
                  <c:v>132.04</c:v>
                </c:pt>
                <c:pt idx="27">
                  <c:v>137.97999999999999</c:v>
                </c:pt>
                <c:pt idx="28">
                  <c:v>143.97</c:v>
                </c:pt>
                <c:pt idx="29">
                  <c:v>149.94999999999999</c:v>
                </c:pt>
                <c:pt idx="30">
                  <c:v>156.08000000000001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0CF8-4374-B006-A39798AB77B9}"/>
            </c:ext>
          </c:extLst>
        </c:ser>
        <c:ser>
          <c:idx val="16"/>
          <c:order val="16"/>
          <c:tx>
            <c:strRef>
              <c:f>Worksheet!$B$498</c:f>
              <c:strCache>
                <c:ptCount val="1"/>
                <c:pt idx="0">
                  <c:v>110 C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Worksheet!$A$498:$A$528</c:f>
              <c:numCache>
                <c:formatCode>0.00</c:formatCode>
                <c:ptCount val="31"/>
                <c:pt idx="0">
                  <c:v>0.1</c:v>
                </c:pt>
                <c:pt idx="1">
                  <c:v>0.12589</c:v>
                </c:pt>
                <c:pt idx="2">
                  <c:v>0.15848999999999999</c:v>
                </c:pt>
                <c:pt idx="3">
                  <c:v>0.19953000000000001</c:v>
                </c:pt>
                <c:pt idx="4">
                  <c:v>0.25119000000000002</c:v>
                </c:pt>
                <c:pt idx="5">
                  <c:v>0.31623000000000001</c:v>
                </c:pt>
                <c:pt idx="6">
                  <c:v>0.39811000000000002</c:v>
                </c:pt>
                <c:pt idx="7">
                  <c:v>0.50119000000000002</c:v>
                </c:pt>
                <c:pt idx="8">
                  <c:v>0.63095999999999997</c:v>
                </c:pt>
                <c:pt idx="9">
                  <c:v>0.79432999999999998</c:v>
                </c:pt>
                <c:pt idx="10">
                  <c:v>1</c:v>
                </c:pt>
                <c:pt idx="11">
                  <c:v>1.2589300000000001</c:v>
                </c:pt>
                <c:pt idx="12">
                  <c:v>1.5848899999999999</c:v>
                </c:pt>
                <c:pt idx="13">
                  <c:v>1.99526</c:v>
                </c:pt>
                <c:pt idx="14">
                  <c:v>2.5118900000000002</c:v>
                </c:pt>
                <c:pt idx="15">
                  <c:v>3.16228</c:v>
                </c:pt>
                <c:pt idx="16">
                  <c:v>3.9810699999999999</c:v>
                </c:pt>
                <c:pt idx="17">
                  <c:v>5.01187</c:v>
                </c:pt>
                <c:pt idx="18">
                  <c:v>6.3095800000000004</c:v>
                </c:pt>
                <c:pt idx="19">
                  <c:v>7.9432900000000002</c:v>
                </c:pt>
                <c:pt idx="20">
                  <c:v>10</c:v>
                </c:pt>
                <c:pt idx="21">
                  <c:v>12.5893</c:v>
                </c:pt>
                <c:pt idx="22">
                  <c:v>15.8489</c:v>
                </c:pt>
                <c:pt idx="23">
                  <c:v>19.9526</c:v>
                </c:pt>
                <c:pt idx="24">
                  <c:v>25.1189</c:v>
                </c:pt>
                <c:pt idx="25">
                  <c:v>31.622800000000002</c:v>
                </c:pt>
                <c:pt idx="26">
                  <c:v>39.810699999999997</c:v>
                </c:pt>
                <c:pt idx="27">
                  <c:v>50.1188</c:v>
                </c:pt>
                <c:pt idx="28">
                  <c:v>63.095799999999997</c:v>
                </c:pt>
                <c:pt idx="29">
                  <c:v>79.432900000000004</c:v>
                </c:pt>
                <c:pt idx="30">
                  <c:v>100</c:v>
                </c:pt>
              </c:numCache>
            </c:numRef>
          </c:xVal>
          <c:yVal>
            <c:numRef>
              <c:f>Worksheet!$D$498:$D$528</c:f>
              <c:numCache>
                <c:formatCode>0.00</c:formatCode>
                <c:ptCount val="31"/>
                <c:pt idx="0">
                  <c:v>9.7445000000000004</c:v>
                </c:pt>
                <c:pt idx="1">
                  <c:v>9.9884000000000004</c:v>
                </c:pt>
                <c:pt idx="2">
                  <c:v>10.436</c:v>
                </c:pt>
                <c:pt idx="3">
                  <c:v>10.936999999999999</c:v>
                </c:pt>
                <c:pt idx="4">
                  <c:v>11.539</c:v>
                </c:pt>
                <c:pt idx="5">
                  <c:v>12.185</c:v>
                </c:pt>
                <c:pt idx="6">
                  <c:v>12.906000000000001</c:v>
                </c:pt>
                <c:pt idx="7">
                  <c:v>13.686</c:v>
                </c:pt>
                <c:pt idx="8">
                  <c:v>14.564</c:v>
                </c:pt>
                <c:pt idx="9">
                  <c:v>15.542</c:v>
                </c:pt>
                <c:pt idx="10">
                  <c:v>16.603999999999999</c:v>
                </c:pt>
                <c:pt idx="11">
                  <c:v>17.829999999999998</c:v>
                </c:pt>
                <c:pt idx="12">
                  <c:v>19.042999999999999</c:v>
                </c:pt>
                <c:pt idx="13">
                  <c:v>20.443999999999999</c:v>
                </c:pt>
                <c:pt idx="14">
                  <c:v>22.007999999999999</c:v>
                </c:pt>
                <c:pt idx="15">
                  <c:v>23.739000000000001</c:v>
                </c:pt>
                <c:pt idx="16">
                  <c:v>25.562000000000001</c:v>
                </c:pt>
                <c:pt idx="17">
                  <c:v>27.465</c:v>
                </c:pt>
                <c:pt idx="18">
                  <c:v>29.588999999999999</c:v>
                </c:pt>
                <c:pt idx="19">
                  <c:v>31.925000000000001</c:v>
                </c:pt>
                <c:pt idx="20">
                  <c:v>34.345999999999997</c:v>
                </c:pt>
                <c:pt idx="21">
                  <c:v>37.024000000000001</c:v>
                </c:pt>
                <c:pt idx="22">
                  <c:v>40.006</c:v>
                </c:pt>
                <c:pt idx="23">
                  <c:v>43.104999999999997</c:v>
                </c:pt>
                <c:pt idx="24">
                  <c:v>46.478000000000002</c:v>
                </c:pt>
                <c:pt idx="25">
                  <c:v>50.067999999999998</c:v>
                </c:pt>
                <c:pt idx="26">
                  <c:v>53.85</c:v>
                </c:pt>
                <c:pt idx="27">
                  <c:v>57.784999999999997</c:v>
                </c:pt>
                <c:pt idx="28">
                  <c:v>61.906999999999996</c:v>
                </c:pt>
                <c:pt idx="29">
                  <c:v>66.265000000000001</c:v>
                </c:pt>
                <c:pt idx="30">
                  <c:v>70.748000000000005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0CF8-4374-B006-A39798AB77B9}"/>
            </c:ext>
          </c:extLst>
        </c:ser>
        <c:ser>
          <c:idx val="17"/>
          <c:order val="17"/>
          <c:tx>
            <c:strRef>
              <c:f>Worksheet!$B$529</c:f>
              <c:strCache>
                <c:ptCount val="1"/>
                <c:pt idx="0">
                  <c:v>120 C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Worksheet!$A$529:$A$559</c:f>
              <c:numCache>
                <c:formatCode>0.00</c:formatCode>
                <c:ptCount val="31"/>
                <c:pt idx="0">
                  <c:v>0.1</c:v>
                </c:pt>
                <c:pt idx="1">
                  <c:v>0.12589</c:v>
                </c:pt>
                <c:pt idx="2">
                  <c:v>0.15848999999999999</c:v>
                </c:pt>
                <c:pt idx="3">
                  <c:v>0.19953000000000001</c:v>
                </c:pt>
                <c:pt idx="4">
                  <c:v>0.25119000000000002</c:v>
                </c:pt>
                <c:pt idx="5">
                  <c:v>0.31623000000000001</c:v>
                </c:pt>
                <c:pt idx="6">
                  <c:v>0.39811000000000002</c:v>
                </c:pt>
                <c:pt idx="7">
                  <c:v>0.50119000000000002</c:v>
                </c:pt>
                <c:pt idx="8">
                  <c:v>0.63095999999999997</c:v>
                </c:pt>
                <c:pt idx="9">
                  <c:v>0.79432999999999998</c:v>
                </c:pt>
                <c:pt idx="10">
                  <c:v>1</c:v>
                </c:pt>
                <c:pt idx="11">
                  <c:v>1.2589300000000001</c:v>
                </c:pt>
                <c:pt idx="12">
                  <c:v>1.5848899999999999</c:v>
                </c:pt>
                <c:pt idx="13">
                  <c:v>1.99526</c:v>
                </c:pt>
                <c:pt idx="14">
                  <c:v>2.5118900000000002</c:v>
                </c:pt>
                <c:pt idx="15">
                  <c:v>3.16228</c:v>
                </c:pt>
                <c:pt idx="16">
                  <c:v>3.9810699999999999</c:v>
                </c:pt>
                <c:pt idx="17">
                  <c:v>5.01187</c:v>
                </c:pt>
                <c:pt idx="18">
                  <c:v>6.3095800000000004</c:v>
                </c:pt>
                <c:pt idx="19">
                  <c:v>7.9432900000000002</c:v>
                </c:pt>
                <c:pt idx="20">
                  <c:v>10</c:v>
                </c:pt>
                <c:pt idx="21">
                  <c:v>12.5893</c:v>
                </c:pt>
                <c:pt idx="22">
                  <c:v>15.8489</c:v>
                </c:pt>
                <c:pt idx="23">
                  <c:v>19.9526</c:v>
                </c:pt>
                <c:pt idx="24">
                  <c:v>25.1189</c:v>
                </c:pt>
                <c:pt idx="25">
                  <c:v>31.622800000000002</c:v>
                </c:pt>
                <c:pt idx="26">
                  <c:v>39.810699999999997</c:v>
                </c:pt>
                <c:pt idx="27">
                  <c:v>50.1188</c:v>
                </c:pt>
                <c:pt idx="28">
                  <c:v>63.095799999999997</c:v>
                </c:pt>
                <c:pt idx="29">
                  <c:v>79.432900000000004</c:v>
                </c:pt>
                <c:pt idx="30">
                  <c:v>100</c:v>
                </c:pt>
              </c:numCache>
            </c:numRef>
          </c:xVal>
          <c:yVal>
            <c:numRef>
              <c:f>Worksheet!$D$529:$D$559</c:f>
              <c:numCache>
                <c:formatCode>0.00</c:formatCode>
                <c:ptCount val="31"/>
                <c:pt idx="0">
                  <c:v>6.9374000000000002</c:v>
                </c:pt>
                <c:pt idx="1">
                  <c:v>6.8826999999999998</c:v>
                </c:pt>
                <c:pt idx="2">
                  <c:v>6.9097999999999997</c:v>
                </c:pt>
                <c:pt idx="3">
                  <c:v>6.9898999999999996</c:v>
                </c:pt>
                <c:pt idx="4">
                  <c:v>7.1021999999999998</c:v>
                </c:pt>
                <c:pt idx="5">
                  <c:v>7.2430000000000003</c:v>
                </c:pt>
                <c:pt idx="6">
                  <c:v>7.3963000000000001</c:v>
                </c:pt>
                <c:pt idx="7">
                  <c:v>7.5873999999999997</c:v>
                </c:pt>
                <c:pt idx="8">
                  <c:v>7.7568000000000001</c:v>
                </c:pt>
                <c:pt idx="9">
                  <c:v>7.9856999999999996</c:v>
                </c:pt>
                <c:pt idx="10">
                  <c:v>8.2227999999999994</c:v>
                </c:pt>
                <c:pt idx="11">
                  <c:v>8.5016999999999996</c:v>
                </c:pt>
                <c:pt idx="12">
                  <c:v>8.8049999999999997</c:v>
                </c:pt>
                <c:pt idx="13">
                  <c:v>9.1486999999999998</c:v>
                </c:pt>
                <c:pt idx="14">
                  <c:v>9.5454000000000008</c:v>
                </c:pt>
                <c:pt idx="15">
                  <c:v>9.9605999999999995</c:v>
                </c:pt>
                <c:pt idx="16">
                  <c:v>10.388999999999999</c:v>
                </c:pt>
                <c:pt idx="17">
                  <c:v>10.864000000000001</c:v>
                </c:pt>
                <c:pt idx="18">
                  <c:v>11.438000000000001</c:v>
                </c:pt>
                <c:pt idx="19">
                  <c:v>12.038</c:v>
                </c:pt>
                <c:pt idx="20">
                  <c:v>12.706</c:v>
                </c:pt>
                <c:pt idx="21">
                  <c:v>13.483000000000001</c:v>
                </c:pt>
                <c:pt idx="22">
                  <c:v>14.36</c:v>
                </c:pt>
                <c:pt idx="23">
                  <c:v>15.263</c:v>
                </c:pt>
                <c:pt idx="24">
                  <c:v>16.234000000000002</c:v>
                </c:pt>
                <c:pt idx="25">
                  <c:v>17.405000000000001</c:v>
                </c:pt>
                <c:pt idx="26">
                  <c:v>18.677</c:v>
                </c:pt>
                <c:pt idx="27">
                  <c:v>20.07</c:v>
                </c:pt>
                <c:pt idx="28">
                  <c:v>21.622</c:v>
                </c:pt>
                <c:pt idx="29">
                  <c:v>23.295999999999999</c:v>
                </c:pt>
                <c:pt idx="30">
                  <c:v>25.120999999999999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0CF8-4374-B006-A39798AB77B9}"/>
            </c:ext>
          </c:extLst>
        </c:ser>
        <c:ser>
          <c:idx val="18"/>
          <c:order val="18"/>
          <c:tx>
            <c:strRef>
              <c:f>Worksheet!$B$560</c:f>
              <c:strCache>
                <c:ptCount val="1"/>
                <c:pt idx="0">
                  <c:v>130 C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Worksheet!$A$560:$A$590</c:f>
              <c:numCache>
                <c:formatCode>0.00</c:formatCode>
                <c:ptCount val="31"/>
                <c:pt idx="0">
                  <c:v>0.1</c:v>
                </c:pt>
                <c:pt idx="1">
                  <c:v>0.12589</c:v>
                </c:pt>
                <c:pt idx="2">
                  <c:v>0.15848999999999999</c:v>
                </c:pt>
                <c:pt idx="3">
                  <c:v>0.19953000000000001</c:v>
                </c:pt>
                <c:pt idx="4">
                  <c:v>0.25119000000000002</c:v>
                </c:pt>
                <c:pt idx="5">
                  <c:v>0.31623000000000001</c:v>
                </c:pt>
                <c:pt idx="6">
                  <c:v>0.39811000000000002</c:v>
                </c:pt>
                <c:pt idx="7">
                  <c:v>0.50119000000000002</c:v>
                </c:pt>
                <c:pt idx="8">
                  <c:v>0.63095999999999997</c:v>
                </c:pt>
                <c:pt idx="9">
                  <c:v>0.79432999999999998</c:v>
                </c:pt>
                <c:pt idx="10">
                  <c:v>1</c:v>
                </c:pt>
                <c:pt idx="11">
                  <c:v>1.2589300000000001</c:v>
                </c:pt>
                <c:pt idx="12">
                  <c:v>1.5848899999999999</c:v>
                </c:pt>
                <c:pt idx="13">
                  <c:v>1.99526</c:v>
                </c:pt>
                <c:pt idx="14">
                  <c:v>2.5118900000000002</c:v>
                </c:pt>
                <c:pt idx="15">
                  <c:v>3.16228</c:v>
                </c:pt>
                <c:pt idx="16">
                  <c:v>3.9810699999999999</c:v>
                </c:pt>
                <c:pt idx="17">
                  <c:v>5.01187</c:v>
                </c:pt>
                <c:pt idx="18">
                  <c:v>6.3095800000000004</c:v>
                </c:pt>
                <c:pt idx="19">
                  <c:v>7.9432900000000002</c:v>
                </c:pt>
                <c:pt idx="20">
                  <c:v>10</c:v>
                </c:pt>
                <c:pt idx="21">
                  <c:v>12.5893</c:v>
                </c:pt>
                <c:pt idx="22">
                  <c:v>15.8489</c:v>
                </c:pt>
                <c:pt idx="23">
                  <c:v>19.9526</c:v>
                </c:pt>
                <c:pt idx="24">
                  <c:v>25.1189</c:v>
                </c:pt>
                <c:pt idx="25">
                  <c:v>31.622800000000002</c:v>
                </c:pt>
                <c:pt idx="26">
                  <c:v>39.810699999999997</c:v>
                </c:pt>
                <c:pt idx="27">
                  <c:v>50.1188</c:v>
                </c:pt>
                <c:pt idx="28">
                  <c:v>63.095799999999997</c:v>
                </c:pt>
                <c:pt idx="29">
                  <c:v>79.432900000000004</c:v>
                </c:pt>
                <c:pt idx="30">
                  <c:v>100</c:v>
                </c:pt>
              </c:numCache>
            </c:numRef>
          </c:xVal>
          <c:yVal>
            <c:numRef>
              <c:f>Worksheet!$D$560:$D$590</c:f>
              <c:numCache>
                <c:formatCode>0.00</c:formatCode>
                <c:ptCount val="31"/>
                <c:pt idx="0">
                  <c:v>6.5758999999999999</c:v>
                </c:pt>
                <c:pt idx="1">
                  <c:v>6.3276000000000003</c:v>
                </c:pt>
                <c:pt idx="2">
                  <c:v>6.2736999999999998</c:v>
                </c:pt>
                <c:pt idx="3">
                  <c:v>6.2896000000000001</c:v>
                </c:pt>
                <c:pt idx="4">
                  <c:v>6.3059000000000003</c:v>
                </c:pt>
                <c:pt idx="5">
                  <c:v>6.3392999999999997</c:v>
                </c:pt>
                <c:pt idx="6">
                  <c:v>6.3788</c:v>
                </c:pt>
                <c:pt idx="7">
                  <c:v>6.4245000000000001</c:v>
                </c:pt>
                <c:pt idx="8">
                  <c:v>6.4806999999999997</c:v>
                </c:pt>
                <c:pt idx="9">
                  <c:v>6.5296000000000003</c:v>
                </c:pt>
                <c:pt idx="10">
                  <c:v>6.5871000000000004</c:v>
                </c:pt>
                <c:pt idx="11">
                  <c:v>6.6769999999999996</c:v>
                </c:pt>
                <c:pt idx="12">
                  <c:v>6.7512999999999996</c:v>
                </c:pt>
                <c:pt idx="13">
                  <c:v>6.8388999999999998</c:v>
                </c:pt>
                <c:pt idx="14">
                  <c:v>6.9496000000000002</c:v>
                </c:pt>
                <c:pt idx="15">
                  <c:v>7.0690999999999997</c:v>
                </c:pt>
                <c:pt idx="16">
                  <c:v>7.1840999999999999</c:v>
                </c:pt>
                <c:pt idx="17">
                  <c:v>7.2999000000000001</c:v>
                </c:pt>
                <c:pt idx="18">
                  <c:v>7.4710000000000001</c:v>
                </c:pt>
                <c:pt idx="19">
                  <c:v>7.6426999999999996</c:v>
                </c:pt>
                <c:pt idx="20">
                  <c:v>7.8509000000000002</c:v>
                </c:pt>
                <c:pt idx="21">
                  <c:v>8.0626999999999995</c:v>
                </c:pt>
                <c:pt idx="22">
                  <c:v>8.2871000000000006</c:v>
                </c:pt>
                <c:pt idx="23">
                  <c:v>8.5747</c:v>
                </c:pt>
                <c:pt idx="24">
                  <c:v>8.8725000000000005</c:v>
                </c:pt>
                <c:pt idx="25">
                  <c:v>9.1676000000000002</c:v>
                </c:pt>
                <c:pt idx="26">
                  <c:v>9.5344999999999995</c:v>
                </c:pt>
                <c:pt idx="27">
                  <c:v>9.9314999999999998</c:v>
                </c:pt>
                <c:pt idx="28">
                  <c:v>10.367000000000001</c:v>
                </c:pt>
                <c:pt idx="29">
                  <c:v>10.851000000000001</c:v>
                </c:pt>
                <c:pt idx="30">
                  <c:v>11.425000000000001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0CF8-4374-B006-A39798AB77B9}"/>
            </c:ext>
          </c:extLst>
        </c:ser>
        <c:ser>
          <c:idx val="19"/>
          <c:order val="19"/>
          <c:tx>
            <c:strRef>
              <c:f>Worksheet!$B$592</c:f>
              <c:strCache>
                <c:ptCount val="1"/>
                <c:pt idx="0">
                  <c:v>140 C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Worksheet!$A$591:$A$621</c:f>
              <c:numCache>
                <c:formatCode>0.00</c:formatCode>
                <c:ptCount val="25"/>
                <c:pt idx="0">
                  <c:v>0.1</c:v>
                </c:pt>
                <c:pt idx="1">
                  <c:v>0.50119000000000002</c:v>
                </c:pt>
                <c:pt idx="2">
                  <c:v>0.63095999999999997</c:v>
                </c:pt>
                <c:pt idx="3">
                  <c:v>0.79432999999999998</c:v>
                </c:pt>
                <c:pt idx="4">
                  <c:v>1</c:v>
                </c:pt>
                <c:pt idx="5">
                  <c:v>1.2589300000000001</c:v>
                </c:pt>
                <c:pt idx="6">
                  <c:v>1.5848899999999999</c:v>
                </c:pt>
                <c:pt idx="7">
                  <c:v>1.99526</c:v>
                </c:pt>
                <c:pt idx="8">
                  <c:v>2.5118900000000002</c:v>
                </c:pt>
                <c:pt idx="9">
                  <c:v>3.16228</c:v>
                </c:pt>
                <c:pt idx="10">
                  <c:v>3.9810699999999999</c:v>
                </c:pt>
                <c:pt idx="11">
                  <c:v>5.01187</c:v>
                </c:pt>
                <c:pt idx="12">
                  <c:v>6.3095800000000004</c:v>
                </c:pt>
                <c:pt idx="13">
                  <c:v>7.9432900000000002</c:v>
                </c:pt>
                <c:pt idx="14">
                  <c:v>10</c:v>
                </c:pt>
                <c:pt idx="15">
                  <c:v>12.5893</c:v>
                </c:pt>
                <c:pt idx="16">
                  <c:v>15.8489</c:v>
                </c:pt>
                <c:pt idx="17">
                  <c:v>19.9526</c:v>
                </c:pt>
                <c:pt idx="18">
                  <c:v>25.1189</c:v>
                </c:pt>
                <c:pt idx="19">
                  <c:v>31.622800000000002</c:v>
                </c:pt>
                <c:pt idx="20">
                  <c:v>39.810699999999997</c:v>
                </c:pt>
                <c:pt idx="21">
                  <c:v>50.1188</c:v>
                </c:pt>
                <c:pt idx="22">
                  <c:v>63.095799999999997</c:v>
                </c:pt>
                <c:pt idx="23">
                  <c:v>79.432900000000004</c:v>
                </c:pt>
                <c:pt idx="24">
                  <c:v>100</c:v>
                </c:pt>
              </c:numCache>
            </c:numRef>
          </c:xVal>
          <c:yVal>
            <c:numRef>
              <c:f>Worksheet!$D$591:$D$621</c:f>
              <c:numCache>
                <c:formatCode>0.00</c:formatCode>
                <c:ptCount val="25"/>
                <c:pt idx="0">
                  <c:v>6.5155000000000003</c:v>
                </c:pt>
                <c:pt idx="1">
                  <c:v>6.3761000000000001</c:v>
                </c:pt>
                <c:pt idx="2">
                  <c:v>6.4076000000000004</c:v>
                </c:pt>
                <c:pt idx="3">
                  <c:v>6.4236000000000004</c:v>
                </c:pt>
                <c:pt idx="4">
                  <c:v>6.4606000000000003</c:v>
                </c:pt>
                <c:pt idx="5">
                  <c:v>6.4702000000000002</c:v>
                </c:pt>
                <c:pt idx="6">
                  <c:v>6.5063000000000004</c:v>
                </c:pt>
                <c:pt idx="7">
                  <c:v>6.5246000000000004</c:v>
                </c:pt>
                <c:pt idx="8">
                  <c:v>6.5616000000000003</c:v>
                </c:pt>
                <c:pt idx="9">
                  <c:v>6.5925000000000002</c:v>
                </c:pt>
                <c:pt idx="10">
                  <c:v>6.6340000000000003</c:v>
                </c:pt>
                <c:pt idx="11">
                  <c:v>6.6753</c:v>
                </c:pt>
                <c:pt idx="12">
                  <c:v>6.7153999999999998</c:v>
                </c:pt>
                <c:pt idx="13">
                  <c:v>6.7552000000000003</c:v>
                </c:pt>
                <c:pt idx="14">
                  <c:v>6.8205</c:v>
                </c:pt>
                <c:pt idx="15">
                  <c:v>6.8975</c:v>
                </c:pt>
                <c:pt idx="16">
                  <c:v>6.9829999999999997</c:v>
                </c:pt>
                <c:pt idx="17">
                  <c:v>7.0622999999999996</c:v>
                </c:pt>
                <c:pt idx="18">
                  <c:v>7.1840000000000002</c:v>
                </c:pt>
                <c:pt idx="19">
                  <c:v>7.2892000000000001</c:v>
                </c:pt>
                <c:pt idx="20">
                  <c:v>7.4025999999999996</c:v>
                </c:pt>
                <c:pt idx="21">
                  <c:v>7.5350000000000001</c:v>
                </c:pt>
                <c:pt idx="22">
                  <c:v>7.7061000000000002</c:v>
                </c:pt>
                <c:pt idx="23">
                  <c:v>7.8662000000000001</c:v>
                </c:pt>
                <c:pt idx="24">
                  <c:v>8.0518999999999998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0CF8-4374-B006-A39798AB77B9}"/>
            </c:ext>
          </c:extLst>
        </c:ser>
        <c:ser>
          <c:idx val="20"/>
          <c:order val="20"/>
          <c:tx>
            <c:strRef>
              <c:f>Worksheet!$B$622</c:f>
              <c:strCache>
                <c:ptCount val="1"/>
                <c:pt idx="0">
                  <c:v>150 C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Worksheet!$A$622:$A$652</c:f>
              <c:numCache>
                <c:formatCode>0.00</c:formatCode>
                <c:ptCount val="17"/>
                <c:pt idx="0">
                  <c:v>0.1</c:v>
                </c:pt>
                <c:pt idx="1">
                  <c:v>3.16228</c:v>
                </c:pt>
                <c:pt idx="2">
                  <c:v>3.9810699999999999</c:v>
                </c:pt>
                <c:pt idx="3">
                  <c:v>5.01187</c:v>
                </c:pt>
                <c:pt idx="4">
                  <c:v>6.3095800000000004</c:v>
                </c:pt>
                <c:pt idx="5">
                  <c:v>7.9432900000000002</c:v>
                </c:pt>
                <c:pt idx="6">
                  <c:v>10</c:v>
                </c:pt>
                <c:pt idx="7">
                  <c:v>12.5893</c:v>
                </c:pt>
                <c:pt idx="8">
                  <c:v>15.8489</c:v>
                </c:pt>
                <c:pt idx="9">
                  <c:v>19.9526</c:v>
                </c:pt>
                <c:pt idx="10">
                  <c:v>25.1189</c:v>
                </c:pt>
                <c:pt idx="11">
                  <c:v>31.622800000000002</c:v>
                </c:pt>
                <c:pt idx="12">
                  <c:v>39.810699999999997</c:v>
                </c:pt>
                <c:pt idx="13">
                  <c:v>50.1188</c:v>
                </c:pt>
                <c:pt idx="14">
                  <c:v>63.095799999999997</c:v>
                </c:pt>
                <c:pt idx="15">
                  <c:v>79.432900000000004</c:v>
                </c:pt>
                <c:pt idx="16">
                  <c:v>100</c:v>
                </c:pt>
              </c:numCache>
            </c:numRef>
          </c:xVal>
          <c:yVal>
            <c:numRef>
              <c:f>Worksheet!$D$622:$D$652</c:f>
              <c:numCache>
                <c:formatCode>0.00</c:formatCode>
                <c:ptCount val="17"/>
                <c:pt idx="0">
                  <c:v>6.5465999999999998</c:v>
                </c:pt>
                <c:pt idx="1">
                  <c:v>6.5389999999999997</c:v>
                </c:pt>
                <c:pt idx="2">
                  <c:v>6.5495000000000001</c:v>
                </c:pt>
                <c:pt idx="3">
                  <c:v>6.5533999999999999</c:v>
                </c:pt>
                <c:pt idx="4">
                  <c:v>6.5688000000000004</c:v>
                </c:pt>
                <c:pt idx="5">
                  <c:v>6.6078000000000001</c:v>
                </c:pt>
                <c:pt idx="6">
                  <c:v>6.6246999999999998</c:v>
                </c:pt>
                <c:pt idx="7">
                  <c:v>6.6477000000000004</c:v>
                </c:pt>
                <c:pt idx="8">
                  <c:v>6.6867000000000001</c:v>
                </c:pt>
                <c:pt idx="9">
                  <c:v>6.7046000000000001</c:v>
                </c:pt>
                <c:pt idx="10">
                  <c:v>6.7324999999999999</c:v>
                </c:pt>
                <c:pt idx="11">
                  <c:v>6.7648000000000001</c:v>
                </c:pt>
                <c:pt idx="12">
                  <c:v>6.7995000000000001</c:v>
                </c:pt>
                <c:pt idx="13">
                  <c:v>6.8604000000000003</c:v>
                </c:pt>
                <c:pt idx="14">
                  <c:v>6.9169999999999998</c:v>
                </c:pt>
                <c:pt idx="15">
                  <c:v>6.9890999999999996</c:v>
                </c:pt>
                <c:pt idx="16">
                  <c:v>7.0415000000000001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0CF8-4374-B006-A39798AB77B9}"/>
            </c:ext>
          </c:extLst>
        </c:ser>
        <c:ser>
          <c:idx val="21"/>
          <c:order val="21"/>
          <c:tx>
            <c:strRef>
              <c:f>Worksheet!$B$654</c:f>
              <c:strCache>
                <c:ptCount val="1"/>
                <c:pt idx="0">
                  <c:v>160 C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Worksheet!$A$653:$A$683</c:f>
              <c:numCache>
                <c:formatCode>0.00</c:formatCode>
                <c:ptCount val="9"/>
                <c:pt idx="0">
                  <c:v>15.8489</c:v>
                </c:pt>
                <c:pt idx="1">
                  <c:v>19.9526</c:v>
                </c:pt>
                <c:pt idx="2">
                  <c:v>25.1189</c:v>
                </c:pt>
                <c:pt idx="3">
                  <c:v>31.622800000000002</c:v>
                </c:pt>
                <c:pt idx="4">
                  <c:v>39.810699999999997</c:v>
                </c:pt>
                <c:pt idx="5">
                  <c:v>50.1188</c:v>
                </c:pt>
                <c:pt idx="6">
                  <c:v>63.095799999999997</c:v>
                </c:pt>
                <c:pt idx="7">
                  <c:v>79.432900000000004</c:v>
                </c:pt>
                <c:pt idx="8">
                  <c:v>100</c:v>
                </c:pt>
              </c:numCache>
            </c:numRef>
          </c:xVal>
          <c:yVal>
            <c:numRef>
              <c:f>Worksheet!$D$653:$D$683</c:f>
              <c:numCache>
                <c:formatCode>0.00</c:formatCode>
                <c:ptCount val="9"/>
                <c:pt idx="0">
                  <c:v>6.6627999999999998</c:v>
                </c:pt>
                <c:pt idx="1">
                  <c:v>6.6840999999999999</c:v>
                </c:pt>
                <c:pt idx="2">
                  <c:v>6.7054999999999998</c:v>
                </c:pt>
                <c:pt idx="3">
                  <c:v>6.7023999999999999</c:v>
                </c:pt>
                <c:pt idx="4">
                  <c:v>6.7313000000000001</c:v>
                </c:pt>
                <c:pt idx="5">
                  <c:v>6.7386999999999997</c:v>
                </c:pt>
                <c:pt idx="6">
                  <c:v>6.7651000000000003</c:v>
                </c:pt>
                <c:pt idx="7">
                  <c:v>6.7516999999999996</c:v>
                </c:pt>
                <c:pt idx="8">
                  <c:v>6.8045999999999998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0CF8-4374-B006-A39798AB77B9}"/>
            </c:ext>
          </c:extLst>
        </c:ser>
        <c:ser>
          <c:idx val="22"/>
          <c:order val="22"/>
          <c:tx>
            <c:strRef>
              <c:f>Worksheet!$B$684</c:f>
              <c:strCache>
                <c:ptCount val="1"/>
                <c:pt idx="0">
                  <c:v>170 C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Worksheet!$A$684:$A$714</c:f>
              <c:numCache>
                <c:formatCode>0.00</c:formatCode>
                <c:ptCount val="5"/>
                <c:pt idx="0">
                  <c:v>0.1</c:v>
                </c:pt>
                <c:pt idx="1">
                  <c:v>50.1188</c:v>
                </c:pt>
                <c:pt idx="2">
                  <c:v>63.095799999999997</c:v>
                </c:pt>
                <c:pt idx="3">
                  <c:v>79.432900000000004</c:v>
                </c:pt>
                <c:pt idx="4">
                  <c:v>100</c:v>
                </c:pt>
              </c:numCache>
            </c:numRef>
          </c:xVal>
          <c:yVal>
            <c:numRef>
              <c:f>Worksheet!$D$684:$D$714</c:f>
              <c:numCache>
                <c:formatCode>0.00</c:formatCode>
                <c:ptCount val="5"/>
                <c:pt idx="0">
                  <c:v>6.9141000000000004</c:v>
                </c:pt>
                <c:pt idx="1">
                  <c:v>6.7346000000000004</c:v>
                </c:pt>
                <c:pt idx="2">
                  <c:v>6.7146999999999997</c:v>
                </c:pt>
                <c:pt idx="3">
                  <c:v>6.7183000000000002</c:v>
                </c:pt>
                <c:pt idx="4">
                  <c:v>6.7285000000000004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0CF8-4374-B006-A39798AB77B9}"/>
            </c:ext>
          </c:extLst>
        </c:ser>
        <c:ser>
          <c:idx val="23"/>
          <c:order val="23"/>
          <c:tx>
            <c:strRef>
              <c:f>Worksheet!$B$715</c:f>
              <c:strCache>
                <c:ptCount val="1"/>
                <c:pt idx="0">
                  <c:v>180 C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Worksheet!$A$715:$A$745</c:f>
              <c:numCache>
                <c:formatCode>0.00</c:formatCode>
                <c:ptCount val="4"/>
                <c:pt idx="0">
                  <c:v>0.1</c:v>
                </c:pt>
                <c:pt idx="1">
                  <c:v>0.12589</c:v>
                </c:pt>
                <c:pt idx="2">
                  <c:v>79.432900000000004</c:v>
                </c:pt>
                <c:pt idx="3">
                  <c:v>100</c:v>
                </c:pt>
              </c:numCache>
            </c:numRef>
          </c:xVal>
          <c:yVal>
            <c:numRef>
              <c:f>Worksheet!$D$715:$D$745</c:f>
              <c:numCache>
                <c:formatCode>0.00</c:formatCode>
                <c:ptCount val="4"/>
                <c:pt idx="0">
                  <c:v>6.7068000000000003</c:v>
                </c:pt>
                <c:pt idx="1">
                  <c:v>6.5979000000000001</c:v>
                </c:pt>
                <c:pt idx="2">
                  <c:v>6.7571000000000003</c:v>
                </c:pt>
                <c:pt idx="3">
                  <c:v>6.7599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0CF8-4374-B006-A39798AB77B9}"/>
            </c:ext>
          </c:extLst>
        </c:ser>
        <c:ser>
          <c:idx val="24"/>
          <c:order val="24"/>
          <c:tx>
            <c:strRef>
              <c:f>Worksheet!$B$746</c:f>
              <c:strCache>
                <c:ptCount val="1"/>
                <c:pt idx="0">
                  <c:v>190 C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Worksheet!$A$746:$A$776</c:f>
              <c:numCache>
                <c:formatCode>0.00</c:formatCode>
                <c:ptCount val="7"/>
                <c:pt idx="0">
                  <c:v>0.1</c:v>
                </c:pt>
                <c:pt idx="1">
                  <c:v>0.12589</c:v>
                </c:pt>
                <c:pt idx="2">
                  <c:v>0.15848999999999999</c:v>
                </c:pt>
                <c:pt idx="3">
                  <c:v>0.19953000000000001</c:v>
                </c:pt>
                <c:pt idx="4">
                  <c:v>0.25119000000000002</c:v>
                </c:pt>
                <c:pt idx="5">
                  <c:v>0.31623000000000001</c:v>
                </c:pt>
                <c:pt idx="6">
                  <c:v>63.095799999999997</c:v>
                </c:pt>
              </c:numCache>
            </c:numRef>
          </c:xVal>
          <c:yVal>
            <c:numRef>
              <c:f>Worksheet!$D$746:$D$776</c:f>
              <c:numCache>
                <c:formatCode>0.00</c:formatCode>
                <c:ptCount val="7"/>
                <c:pt idx="0">
                  <c:v>6.6505999999999998</c:v>
                </c:pt>
                <c:pt idx="1">
                  <c:v>6.6163999999999996</c:v>
                </c:pt>
                <c:pt idx="2">
                  <c:v>6.5940000000000003</c:v>
                </c:pt>
                <c:pt idx="3">
                  <c:v>6.6302000000000003</c:v>
                </c:pt>
                <c:pt idx="4">
                  <c:v>6.6384999999999996</c:v>
                </c:pt>
                <c:pt idx="5">
                  <c:v>6.6406000000000001</c:v>
                </c:pt>
                <c:pt idx="6">
                  <c:v>6.8383000000000003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0CF8-4374-B006-A39798AB77B9}"/>
            </c:ext>
          </c:extLst>
        </c:ser>
        <c:ser>
          <c:idx val="25"/>
          <c:order val="25"/>
          <c:tx>
            <c:strRef>
              <c:f>Worksheet!$B$777</c:f>
              <c:strCache>
                <c:ptCount val="1"/>
                <c:pt idx="0">
                  <c:v>200 C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Worksheet!$A$777:$A$807</c:f>
              <c:numCache>
                <c:formatCode>0.00</c:formatCode>
                <c:ptCount val="9"/>
                <c:pt idx="0">
                  <c:v>0.1</c:v>
                </c:pt>
                <c:pt idx="1">
                  <c:v>0.12589</c:v>
                </c:pt>
                <c:pt idx="2">
                  <c:v>0.15848999999999999</c:v>
                </c:pt>
                <c:pt idx="3">
                  <c:v>0.19953000000000001</c:v>
                </c:pt>
                <c:pt idx="4">
                  <c:v>0.25119000000000002</c:v>
                </c:pt>
                <c:pt idx="5">
                  <c:v>0.31623000000000001</c:v>
                </c:pt>
                <c:pt idx="6">
                  <c:v>0.39811000000000002</c:v>
                </c:pt>
                <c:pt idx="7">
                  <c:v>0.50119000000000002</c:v>
                </c:pt>
                <c:pt idx="8">
                  <c:v>0.63095999999999997</c:v>
                </c:pt>
              </c:numCache>
            </c:numRef>
          </c:xVal>
          <c:yVal>
            <c:numRef>
              <c:f>Worksheet!$D$777:$D$807</c:f>
              <c:numCache>
                <c:formatCode>0.00</c:formatCode>
                <c:ptCount val="9"/>
                <c:pt idx="0">
                  <c:v>6.8056000000000001</c:v>
                </c:pt>
                <c:pt idx="1">
                  <c:v>6.6647999999999996</c:v>
                </c:pt>
                <c:pt idx="2">
                  <c:v>6.6726000000000001</c:v>
                </c:pt>
                <c:pt idx="3">
                  <c:v>6.6729000000000003</c:v>
                </c:pt>
                <c:pt idx="4">
                  <c:v>6.6856999999999998</c:v>
                </c:pt>
                <c:pt idx="5">
                  <c:v>6.7473999999999998</c:v>
                </c:pt>
                <c:pt idx="6">
                  <c:v>6.7464000000000004</c:v>
                </c:pt>
                <c:pt idx="7">
                  <c:v>6.7412999999999998</c:v>
                </c:pt>
                <c:pt idx="8">
                  <c:v>6.7375999999999996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0CF8-4374-B006-A39798AB7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162160"/>
        <c:axId val="536166864"/>
      </c:scatterChart>
      <c:valAx>
        <c:axId val="53616216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1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1">
                    <a:solidFill>
                      <a:sysClr val="windowText" lastClr="000000"/>
                    </a:solidFill>
                  </a:rPr>
                  <a:t>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1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166864"/>
        <c:crosses val="autoZero"/>
        <c:crossBetween val="midCat"/>
      </c:valAx>
      <c:valAx>
        <c:axId val="536166864"/>
        <c:scaling>
          <c:orientation val="minMax"/>
          <c:max val="1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200" b="1" i="1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1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G' (Shear Storage Modulus)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200" b="1" i="1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162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253109193304476"/>
          <c:y val="2.8471515465328733E-2"/>
          <c:w val="0.14367199857468146"/>
          <c:h val="0.94305696906934255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36219A-5587-4966-9468-ADDEAE0FF882}">
  <sheetPr/>
  <sheetViews>
    <sheetView zoomScale="13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4864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6710C9-F57D-4E40-AC9A-6E5EFBD249E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L807"/>
  <sheetViews>
    <sheetView tabSelected="1" workbookViewId="0"/>
  </sheetViews>
  <sheetFormatPr defaultRowHeight="14.4" x14ac:dyDescent="0.3"/>
  <cols>
    <col min="1" max="1" width="11.44140625" customWidth="1"/>
    <col min="2" max="3" width="13.44140625" style="3" customWidth="1"/>
    <col min="4" max="4" width="13.6640625" customWidth="1"/>
    <col min="5" max="5" width="12.5546875" customWidth="1"/>
    <col min="6" max="6" width="11.88671875" customWidth="1"/>
    <col min="7" max="7" width="12" customWidth="1"/>
    <col min="9" max="9" width="9.5546875" style="2" bestFit="1" customWidth="1"/>
    <col min="10" max="10" width="11.5546875" customWidth="1"/>
  </cols>
  <sheetData>
    <row r="1" spans="1:12" ht="43.2" x14ac:dyDescent="0.3">
      <c r="A1" s="14" t="s">
        <v>1</v>
      </c>
      <c r="B1" s="15" t="s">
        <v>0</v>
      </c>
      <c r="C1" s="15" t="s">
        <v>7</v>
      </c>
      <c r="D1" s="14" t="s">
        <v>35</v>
      </c>
      <c r="E1" s="14" t="s">
        <v>36</v>
      </c>
      <c r="F1" s="14" t="s">
        <v>34</v>
      </c>
      <c r="G1" s="14" t="s">
        <v>2</v>
      </c>
      <c r="H1" s="14" t="s">
        <v>3</v>
      </c>
      <c r="I1" s="16" t="s">
        <v>4</v>
      </c>
      <c r="J1" s="14" t="s">
        <v>5</v>
      </c>
      <c r="K1" s="14" t="s">
        <v>6</v>
      </c>
      <c r="L1" s="14" t="s">
        <v>37</v>
      </c>
    </row>
    <row r="2" spans="1:12" x14ac:dyDescent="0.3">
      <c r="A2" s="4">
        <v>0.1</v>
      </c>
      <c r="B2" s="5" t="s">
        <v>8</v>
      </c>
      <c r="C2" s="5">
        <v>-50</v>
      </c>
      <c r="D2" s="4">
        <v>1333.9</v>
      </c>
      <c r="E2" s="4">
        <v>56.368000000000002</v>
      </c>
      <c r="F2" s="6">
        <v>4.2259999999999999E-2</v>
      </c>
      <c r="G2" s="7">
        <f>LOG(A2)</f>
        <v>-1</v>
      </c>
      <c r="H2" s="1">
        <v>2.448E+22</v>
      </c>
      <c r="I2" s="2">
        <f>LOG(H2)</f>
        <v>22.388811413473523</v>
      </c>
      <c r="J2" s="2">
        <f>G2+I2</f>
        <v>21.388811413473523</v>
      </c>
      <c r="K2" s="1">
        <f>1/10^J2</f>
        <v>4.0849673202614212E-22</v>
      </c>
      <c r="L2" s="17">
        <f>SQRT(D2^2+E2^2)</f>
        <v>1335.0904693780119</v>
      </c>
    </row>
    <row r="3" spans="1:12" x14ac:dyDescent="0.3">
      <c r="A3" s="4">
        <v>0.12589</v>
      </c>
      <c r="B3" s="5" t="s">
        <v>8</v>
      </c>
      <c r="C3" s="5">
        <v>-50</v>
      </c>
      <c r="D3" s="4">
        <v>1341</v>
      </c>
      <c r="E3" s="4">
        <v>54.305</v>
      </c>
      <c r="F3" s="6">
        <v>4.0500000000000001E-2</v>
      </c>
      <c r="G3" s="7">
        <f t="shared" ref="G3:G66" si="0">LOG(A3)</f>
        <v>-0.90000876645531558</v>
      </c>
      <c r="H3" s="1">
        <v>2.448E+22</v>
      </c>
      <c r="I3" s="2">
        <f t="shared" ref="I3:I66" si="1">LOG(H3)</f>
        <v>22.388811413473523</v>
      </c>
      <c r="J3" s="2">
        <f t="shared" ref="J3:J66" si="2">G3+I3</f>
        <v>21.488802647018208</v>
      </c>
      <c r="K3" s="1">
        <f t="shared" ref="K3:K66" si="3">1/10^J3</f>
        <v>3.2448703791098779E-22</v>
      </c>
      <c r="L3" s="17">
        <f t="shared" ref="L3:L66" si="4">SQRT(D3^2+E3^2)</f>
        <v>1342.0991144565292</v>
      </c>
    </row>
    <row r="4" spans="1:12" x14ac:dyDescent="0.3">
      <c r="A4" s="4">
        <v>0.15848999999999999</v>
      </c>
      <c r="B4" s="5" t="s">
        <v>8</v>
      </c>
      <c r="C4" s="5">
        <v>-50</v>
      </c>
      <c r="D4" s="4">
        <v>1347.7</v>
      </c>
      <c r="E4" s="4">
        <v>52.4</v>
      </c>
      <c r="F4" s="6">
        <v>3.8879999999999998E-2</v>
      </c>
      <c r="G4" s="7">
        <f t="shared" si="0"/>
        <v>-0.79999813459339819</v>
      </c>
      <c r="H4" s="1">
        <v>2.448E+22</v>
      </c>
      <c r="I4" s="2">
        <f t="shared" si="1"/>
        <v>22.388811413473523</v>
      </c>
      <c r="J4" s="2">
        <f t="shared" si="2"/>
        <v>21.588813278880124</v>
      </c>
      <c r="K4" s="1">
        <f t="shared" si="3"/>
        <v>2.5774290619354094E-22</v>
      </c>
      <c r="L4" s="17">
        <f t="shared" si="4"/>
        <v>1348.7182989787007</v>
      </c>
    </row>
    <row r="5" spans="1:12" x14ac:dyDescent="0.3">
      <c r="A5" s="4">
        <v>0.19953000000000001</v>
      </c>
      <c r="B5" s="5" t="s">
        <v>8</v>
      </c>
      <c r="C5" s="5">
        <v>-50</v>
      </c>
      <c r="D5" s="4">
        <v>1355.1</v>
      </c>
      <c r="E5" s="4">
        <v>51.597000000000001</v>
      </c>
      <c r="F5" s="6">
        <v>3.8080000000000003E-2</v>
      </c>
      <c r="G5" s="7">
        <f t="shared" si="0"/>
        <v>-0.69999179744618689</v>
      </c>
      <c r="H5" s="1">
        <v>2.448E+22</v>
      </c>
      <c r="I5" s="2">
        <f t="shared" si="1"/>
        <v>22.388811413473523</v>
      </c>
      <c r="J5" s="2">
        <f t="shared" si="2"/>
        <v>21.688819616027335</v>
      </c>
      <c r="K5" s="1">
        <f t="shared" si="3"/>
        <v>2.0472948029175728E-22</v>
      </c>
      <c r="L5" s="17">
        <f t="shared" si="4"/>
        <v>1356.081951951651</v>
      </c>
    </row>
    <row r="6" spans="1:12" x14ac:dyDescent="0.3">
      <c r="A6" s="4">
        <v>0.25119000000000002</v>
      </c>
      <c r="B6" s="5" t="s">
        <v>8</v>
      </c>
      <c r="C6" s="5">
        <v>-50</v>
      </c>
      <c r="D6" s="4">
        <v>1362.3</v>
      </c>
      <c r="E6" s="4">
        <v>50.408000000000001</v>
      </c>
      <c r="F6" s="6">
        <v>3.6999999999999998E-2</v>
      </c>
      <c r="G6" s="7">
        <f t="shared" si="0"/>
        <v>-0.59999765407204408</v>
      </c>
      <c r="H6" s="1">
        <v>2.448E+22</v>
      </c>
      <c r="I6" s="2">
        <f t="shared" si="1"/>
        <v>22.388811413473523</v>
      </c>
      <c r="J6" s="2">
        <f t="shared" si="2"/>
        <v>21.788813759401478</v>
      </c>
      <c r="K6" s="1">
        <f t="shared" si="3"/>
        <v>1.6262459971580975E-22</v>
      </c>
      <c r="L6" s="17">
        <f t="shared" si="4"/>
        <v>1363.2322826517864</v>
      </c>
    </row>
    <row r="7" spans="1:12" x14ac:dyDescent="0.3">
      <c r="A7" s="4">
        <v>0.31623000000000001</v>
      </c>
      <c r="B7" s="5" t="s">
        <v>8</v>
      </c>
      <c r="C7" s="5">
        <v>-50</v>
      </c>
      <c r="D7" s="4">
        <v>1369.3</v>
      </c>
      <c r="E7" s="4">
        <v>49.539000000000001</v>
      </c>
      <c r="F7" s="6">
        <v>3.6179999999999997E-2</v>
      </c>
      <c r="G7" s="7">
        <f t="shared" si="0"/>
        <v>-0.4999969319483068</v>
      </c>
      <c r="H7" s="1">
        <v>2.448E+22</v>
      </c>
      <c r="I7" s="2">
        <f t="shared" si="1"/>
        <v>22.388811413473523</v>
      </c>
      <c r="J7" s="2">
        <f t="shared" si="2"/>
        <v>21.888814481525216</v>
      </c>
      <c r="K7" s="1">
        <f t="shared" si="3"/>
        <v>1.2917709642543192E-22</v>
      </c>
      <c r="L7" s="17">
        <f t="shared" si="4"/>
        <v>1370.1958263405272</v>
      </c>
    </row>
    <row r="8" spans="1:12" x14ac:dyDescent="0.3">
      <c r="A8" s="4">
        <v>0.39811000000000002</v>
      </c>
      <c r="B8" s="5" t="s">
        <v>8</v>
      </c>
      <c r="C8" s="5">
        <v>-50</v>
      </c>
      <c r="D8" s="4">
        <v>1375.5</v>
      </c>
      <c r="E8" s="4">
        <v>48.545000000000002</v>
      </c>
      <c r="F8" s="6">
        <v>3.5290000000000002E-2</v>
      </c>
      <c r="G8" s="7">
        <f t="shared" si="0"/>
        <v>-0.39999691337225962</v>
      </c>
      <c r="H8" s="1">
        <v>2.448E+22</v>
      </c>
      <c r="I8" s="2">
        <f t="shared" si="1"/>
        <v>22.388811413473523</v>
      </c>
      <c r="J8" s="2">
        <f t="shared" si="2"/>
        <v>21.988814500101263</v>
      </c>
      <c r="K8" s="1">
        <f t="shared" si="3"/>
        <v>1.0260901058153342E-22</v>
      </c>
      <c r="L8" s="17">
        <f t="shared" si="4"/>
        <v>1376.3563735548289</v>
      </c>
    </row>
    <row r="9" spans="1:12" x14ac:dyDescent="0.3">
      <c r="A9" s="4">
        <v>0.50119000000000002</v>
      </c>
      <c r="B9" s="5" t="s">
        <v>8</v>
      </c>
      <c r="C9" s="5">
        <v>-50</v>
      </c>
      <c r="D9" s="4">
        <v>1382.2</v>
      </c>
      <c r="E9" s="4">
        <v>47.798000000000002</v>
      </c>
      <c r="F9" s="6">
        <v>3.458E-2</v>
      </c>
      <c r="G9" s="7">
        <f t="shared" si="0"/>
        <v>-0.29999760285774607</v>
      </c>
      <c r="H9" s="1">
        <v>2.448E+22</v>
      </c>
      <c r="I9" s="2">
        <f t="shared" si="1"/>
        <v>22.388811413473523</v>
      </c>
      <c r="J9" s="2">
        <f t="shared" si="2"/>
        <v>22.088813810615775</v>
      </c>
      <c r="K9" s="1">
        <f t="shared" si="3"/>
        <v>8.1505363639765863E-23</v>
      </c>
      <c r="L9" s="17">
        <f t="shared" si="4"/>
        <v>1383.0262068391908</v>
      </c>
    </row>
    <row r="10" spans="1:12" x14ac:dyDescent="0.3">
      <c r="A10" s="4">
        <v>0.63095999999999997</v>
      </c>
      <c r="B10" s="5" t="s">
        <v>8</v>
      </c>
      <c r="C10" s="5">
        <v>-50</v>
      </c>
      <c r="D10" s="4">
        <v>1388.4</v>
      </c>
      <c r="E10" s="4">
        <v>46.966999999999999</v>
      </c>
      <c r="F10" s="6">
        <v>3.3829999999999999E-2</v>
      </c>
      <c r="G10" s="7">
        <f t="shared" si="0"/>
        <v>-0.19999817218203128</v>
      </c>
      <c r="H10" s="1">
        <v>2.448E+22</v>
      </c>
      <c r="I10" s="2">
        <f t="shared" si="1"/>
        <v>22.388811413473523</v>
      </c>
      <c r="J10" s="2">
        <f t="shared" si="2"/>
        <v>22.188813241291491</v>
      </c>
      <c r="K10" s="1">
        <f t="shared" si="3"/>
        <v>6.4742096492034739E-23</v>
      </c>
      <c r="L10" s="17">
        <f t="shared" si="4"/>
        <v>1389.1941761643691</v>
      </c>
    </row>
    <row r="11" spans="1:12" x14ac:dyDescent="0.3">
      <c r="A11" s="4">
        <v>0.79432999999999998</v>
      </c>
      <c r="B11" s="5" t="s">
        <v>8</v>
      </c>
      <c r="C11" s="5">
        <v>-50</v>
      </c>
      <c r="D11" s="4">
        <v>1394.8</v>
      </c>
      <c r="E11" s="4">
        <v>46.531999999999996</v>
      </c>
      <c r="F11" s="6">
        <v>3.3360000000000001E-2</v>
      </c>
      <c r="G11" s="7">
        <f t="shared" si="0"/>
        <v>-9.9999034846530471E-2</v>
      </c>
      <c r="H11" s="1">
        <v>2.448E+22</v>
      </c>
      <c r="I11" s="2">
        <f t="shared" si="1"/>
        <v>22.388811413473523</v>
      </c>
      <c r="J11" s="2">
        <f t="shared" si="2"/>
        <v>22.288812378626993</v>
      </c>
      <c r="K11" s="1">
        <f t="shared" si="3"/>
        <v>5.1426577370380253E-23</v>
      </c>
      <c r="L11" s="17">
        <f t="shared" si="4"/>
        <v>1395.575962469976</v>
      </c>
    </row>
    <row r="12" spans="1:12" x14ac:dyDescent="0.3">
      <c r="A12" s="4">
        <v>1</v>
      </c>
      <c r="B12" s="5" t="s">
        <v>8</v>
      </c>
      <c r="C12" s="5">
        <v>-50</v>
      </c>
      <c r="D12" s="4">
        <v>1401.2</v>
      </c>
      <c r="E12" s="4">
        <v>46.167999999999999</v>
      </c>
      <c r="F12" s="6">
        <v>3.295E-2</v>
      </c>
      <c r="G12" s="7">
        <f t="shared" si="0"/>
        <v>0</v>
      </c>
      <c r="H12" s="1">
        <v>2.448E+22</v>
      </c>
      <c r="I12" s="2">
        <f t="shared" si="1"/>
        <v>22.388811413473523</v>
      </c>
      <c r="J12" s="2">
        <f t="shared" si="2"/>
        <v>22.388811413473523</v>
      </c>
      <c r="K12" s="1">
        <f t="shared" si="3"/>
        <v>4.084967320261431E-23</v>
      </c>
      <c r="L12" s="17">
        <f t="shared" si="4"/>
        <v>1401.9603861108203</v>
      </c>
    </row>
    <row r="13" spans="1:12" x14ac:dyDescent="0.3">
      <c r="A13" s="4">
        <v>1.2589300000000001</v>
      </c>
      <c r="B13" s="5" t="s">
        <v>8</v>
      </c>
      <c r="C13" s="5">
        <v>-50</v>
      </c>
      <c r="D13" s="4">
        <v>1407.6</v>
      </c>
      <c r="E13" s="4">
        <v>46.027999999999999</v>
      </c>
      <c r="F13" s="6">
        <v>3.27E-2</v>
      </c>
      <c r="G13" s="7">
        <f t="shared" si="0"/>
        <v>0.10000158280135207</v>
      </c>
      <c r="H13" s="1">
        <v>2.448E+22</v>
      </c>
      <c r="I13" s="2">
        <f t="shared" si="1"/>
        <v>22.388811413473523</v>
      </c>
      <c r="J13" s="2">
        <f t="shared" si="2"/>
        <v>22.488812996274874</v>
      </c>
      <c r="K13" s="1">
        <f t="shared" si="3"/>
        <v>3.2447930546268879E-23</v>
      </c>
      <c r="L13" s="17">
        <f t="shared" si="4"/>
        <v>1408.3523482367614</v>
      </c>
    </row>
    <row r="14" spans="1:12" x14ac:dyDescent="0.3">
      <c r="A14" s="4">
        <v>1.5848899999999999</v>
      </c>
      <c r="B14" s="5" t="s">
        <v>8</v>
      </c>
      <c r="C14" s="5">
        <v>-50</v>
      </c>
      <c r="D14" s="4">
        <v>1413.8</v>
      </c>
      <c r="E14" s="4">
        <v>46</v>
      </c>
      <c r="F14" s="6">
        <v>3.2539999999999999E-2</v>
      </c>
      <c r="G14" s="7">
        <f t="shared" si="0"/>
        <v>0.19999912519679666</v>
      </c>
      <c r="H14" s="1">
        <v>2.448E+22</v>
      </c>
      <c r="I14" s="2">
        <f t="shared" si="1"/>
        <v>22.388811413473523</v>
      </c>
      <c r="J14" s="2">
        <f t="shared" si="2"/>
        <v>22.58881053867032</v>
      </c>
      <c r="K14" s="1">
        <f t="shared" si="3"/>
        <v>2.5774453244461294E-23</v>
      </c>
      <c r="L14" s="17">
        <f t="shared" si="4"/>
        <v>1414.5481398665795</v>
      </c>
    </row>
    <row r="15" spans="1:12" x14ac:dyDescent="0.3">
      <c r="A15" s="4">
        <v>1.99526</v>
      </c>
      <c r="B15" s="5" t="s">
        <v>8</v>
      </c>
      <c r="C15" s="5">
        <v>-50</v>
      </c>
      <c r="D15" s="4">
        <v>1420</v>
      </c>
      <c r="E15" s="4">
        <v>45.561</v>
      </c>
      <c r="F15" s="6">
        <v>3.209E-2</v>
      </c>
      <c r="G15" s="7">
        <f t="shared" si="0"/>
        <v>0.29999949611698379</v>
      </c>
      <c r="H15" s="1">
        <v>2.448E+22</v>
      </c>
      <c r="I15" s="2">
        <f t="shared" si="1"/>
        <v>22.388811413473523</v>
      </c>
      <c r="J15" s="2">
        <f t="shared" si="2"/>
        <v>22.688810909590508</v>
      </c>
      <c r="K15" s="1">
        <f t="shared" si="3"/>
        <v>2.0473358460859343E-23</v>
      </c>
      <c r="L15" s="17">
        <f t="shared" si="4"/>
        <v>1420.7307291394102</v>
      </c>
    </row>
    <row r="16" spans="1:12" x14ac:dyDescent="0.3">
      <c r="A16" s="4">
        <v>2.5118900000000002</v>
      </c>
      <c r="B16" s="5" t="s">
        <v>8</v>
      </c>
      <c r="C16" s="5">
        <v>-50</v>
      </c>
      <c r="D16" s="4">
        <v>1426.4</v>
      </c>
      <c r="E16" s="4">
        <v>44.936999999999998</v>
      </c>
      <c r="F16" s="6">
        <v>3.15E-2</v>
      </c>
      <c r="G16" s="7">
        <f t="shared" si="0"/>
        <v>0.40000061697637995</v>
      </c>
      <c r="H16" s="1">
        <v>2.448E+22</v>
      </c>
      <c r="I16" s="2">
        <f t="shared" si="1"/>
        <v>22.388811413473523</v>
      </c>
      <c r="J16" s="2">
        <f t="shared" si="2"/>
        <v>22.788812030449904</v>
      </c>
      <c r="K16" s="1">
        <f t="shared" si="3"/>
        <v>1.6262524713508229E-23</v>
      </c>
      <c r="L16" s="17">
        <f t="shared" si="4"/>
        <v>1427.1076672658585</v>
      </c>
    </row>
    <row r="17" spans="1:12" x14ac:dyDescent="0.3">
      <c r="A17" s="4">
        <v>3.16228</v>
      </c>
      <c r="B17" s="5" t="s">
        <v>8</v>
      </c>
      <c r="C17" s="5">
        <v>-50</v>
      </c>
      <c r="D17" s="4">
        <v>1432.5</v>
      </c>
      <c r="E17" s="4">
        <v>44.838000000000001</v>
      </c>
      <c r="F17" s="6">
        <v>3.1300000000000001E-2</v>
      </c>
      <c r="G17" s="7">
        <f t="shared" si="0"/>
        <v>0.50000032134293526</v>
      </c>
      <c r="H17" s="1">
        <v>2.448E+22</v>
      </c>
      <c r="I17" s="2">
        <f t="shared" si="1"/>
        <v>22.388811413473523</v>
      </c>
      <c r="J17" s="2">
        <f t="shared" si="2"/>
        <v>22.888811734816457</v>
      </c>
      <c r="K17" s="1">
        <f t="shared" si="3"/>
        <v>1.2917791341251981E-23</v>
      </c>
      <c r="L17" s="17">
        <f t="shared" si="4"/>
        <v>1433.2015546474961</v>
      </c>
    </row>
    <row r="18" spans="1:12" x14ac:dyDescent="0.3">
      <c r="A18" s="4">
        <v>3.9810699999999999</v>
      </c>
      <c r="B18" s="5" t="s">
        <v>8</v>
      </c>
      <c r="C18" s="5">
        <v>-50</v>
      </c>
      <c r="D18" s="4">
        <v>1438.8</v>
      </c>
      <c r="E18" s="4">
        <v>44.591000000000001</v>
      </c>
      <c r="F18" s="6">
        <v>3.099E-2</v>
      </c>
      <c r="G18" s="7">
        <f t="shared" si="0"/>
        <v>0.59999981394342006</v>
      </c>
      <c r="H18" s="1">
        <v>2.448E+22</v>
      </c>
      <c r="I18" s="2">
        <f t="shared" si="1"/>
        <v>22.388811413473523</v>
      </c>
      <c r="J18" s="2">
        <f t="shared" si="2"/>
        <v>22.988811227416942</v>
      </c>
      <c r="K18" s="1">
        <f t="shared" si="3"/>
        <v>1.0260978380840876E-23</v>
      </c>
      <c r="L18" s="17">
        <f t="shared" si="4"/>
        <v>1439.4908118084672</v>
      </c>
    </row>
    <row r="19" spans="1:12" x14ac:dyDescent="0.3">
      <c r="A19" s="4">
        <v>5.01187</v>
      </c>
      <c r="B19" s="5" t="s">
        <v>8</v>
      </c>
      <c r="C19" s="5">
        <v>-50</v>
      </c>
      <c r="D19" s="4">
        <v>1444.3</v>
      </c>
      <c r="E19" s="4">
        <v>44.81</v>
      </c>
      <c r="F19" s="6">
        <v>3.1019999999999999E-2</v>
      </c>
      <c r="G19" s="7">
        <f t="shared" si="0"/>
        <v>0.69999979755458241</v>
      </c>
      <c r="H19" s="1">
        <v>2.448E+22</v>
      </c>
      <c r="I19" s="2">
        <f t="shared" si="1"/>
        <v>22.388811413473523</v>
      </c>
      <c r="J19" s="2">
        <f t="shared" si="2"/>
        <v>23.088811211028105</v>
      </c>
      <c r="K19" s="1">
        <f t="shared" si="3"/>
        <v>8.1505851513735159E-24</v>
      </c>
      <c r="L19" s="17">
        <f t="shared" si="4"/>
        <v>1444.994957119228</v>
      </c>
    </row>
    <row r="20" spans="1:12" x14ac:dyDescent="0.3">
      <c r="A20" s="4">
        <v>6.3095800000000004</v>
      </c>
      <c r="B20" s="5" t="s">
        <v>8</v>
      </c>
      <c r="C20" s="5">
        <v>-50</v>
      </c>
      <c r="D20" s="4">
        <v>1451</v>
      </c>
      <c r="E20" s="4">
        <v>45.143999999999998</v>
      </c>
      <c r="F20" s="6">
        <v>3.1109999999999999E-2</v>
      </c>
      <c r="G20" s="7">
        <f t="shared" si="0"/>
        <v>0.80000045120084495</v>
      </c>
      <c r="H20" s="1">
        <v>2.448E+22</v>
      </c>
      <c r="I20" s="2">
        <f t="shared" si="1"/>
        <v>22.388811413473523</v>
      </c>
      <c r="J20" s="2">
        <f t="shared" si="2"/>
        <v>23.188811864674367</v>
      </c>
      <c r="K20" s="1">
        <f t="shared" si="3"/>
        <v>6.474230171043772E-24</v>
      </c>
      <c r="L20" s="17">
        <f t="shared" si="4"/>
        <v>1451.7020977927943</v>
      </c>
    </row>
    <row r="21" spans="1:12" x14ac:dyDescent="0.3">
      <c r="A21" s="4">
        <v>7.9432900000000002</v>
      </c>
      <c r="B21" s="5" t="s">
        <v>8</v>
      </c>
      <c r="C21" s="5">
        <v>-50</v>
      </c>
      <c r="D21" s="4">
        <v>1457.4</v>
      </c>
      <c r="E21" s="4">
        <v>45.146999999999998</v>
      </c>
      <c r="F21" s="6">
        <v>3.0980000000000001E-2</v>
      </c>
      <c r="G21" s="7">
        <f t="shared" si="0"/>
        <v>0.90000041840998102</v>
      </c>
      <c r="H21" s="1">
        <v>2.448E+22</v>
      </c>
      <c r="I21" s="2">
        <f t="shared" si="1"/>
        <v>22.388811413473523</v>
      </c>
      <c r="J21" s="2">
        <f t="shared" si="2"/>
        <v>23.288811831883503</v>
      </c>
      <c r="K21" s="1">
        <f t="shared" si="3"/>
        <v>5.1426642112542998E-24</v>
      </c>
      <c r="L21" s="17">
        <f t="shared" si="4"/>
        <v>1458.0991089802503</v>
      </c>
    </row>
    <row r="22" spans="1:12" x14ac:dyDescent="0.3">
      <c r="A22" s="4">
        <v>10</v>
      </c>
      <c r="B22" s="5" t="s">
        <v>8</v>
      </c>
      <c r="C22" s="5">
        <v>-50</v>
      </c>
      <c r="D22" s="4">
        <v>1463.4</v>
      </c>
      <c r="E22" s="4">
        <v>45.792000000000002</v>
      </c>
      <c r="F22" s="6">
        <v>3.1289999999999998E-2</v>
      </c>
      <c r="G22" s="7">
        <f t="shared" si="0"/>
        <v>1</v>
      </c>
      <c r="H22" s="1">
        <v>2.448E+22</v>
      </c>
      <c r="I22" s="2">
        <f t="shared" si="1"/>
        <v>22.388811413473523</v>
      </c>
      <c r="J22" s="2">
        <f t="shared" si="2"/>
        <v>23.388811413473523</v>
      </c>
      <c r="K22" s="1">
        <f t="shared" si="3"/>
        <v>4.0849673202614413E-24</v>
      </c>
      <c r="L22" s="17">
        <f t="shared" si="4"/>
        <v>1464.1162751858201</v>
      </c>
    </row>
    <row r="23" spans="1:12" x14ac:dyDescent="0.3">
      <c r="A23" s="4">
        <v>12.5893</v>
      </c>
      <c r="B23" s="5" t="s">
        <v>8</v>
      </c>
      <c r="C23" s="5">
        <v>-50</v>
      </c>
      <c r="D23" s="4">
        <v>1470</v>
      </c>
      <c r="E23" s="4">
        <v>46.23</v>
      </c>
      <c r="F23" s="6">
        <v>3.1449999999999999E-2</v>
      </c>
      <c r="G23" s="7">
        <f t="shared" si="0"/>
        <v>1.1000015828013521</v>
      </c>
      <c r="H23" s="1">
        <v>2.448E+22</v>
      </c>
      <c r="I23" s="2">
        <f t="shared" si="1"/>
        <v>22.388811413473523</v>
      </c>
      <c r="J23" s="2">
        <f t="shared" si="2"/>
        <v>23.488812996274874</v>
      </c>
      <c r="K23" s="1">
        <f t="shared" si="3"/>
        <v>3.2447930546268959E-24</v>
      </c>
      <c r="L23" s="17">
        <f t="shared" si="4"/>
        <v>1470.7267635084363</v>
      </c>
    </row>
    <row r="24" spans="1:12" x14ac:dyDescent="0.3">
      <c r="A24" s="4">
        <v>15.8489</v>
      </c>
      <c r="B24" s="5" t="s">
        <v>8</v>
      </c>
      <c r="C24" s="5">
        <v>-50</v>
      </c>
      <c r="D24" s="4">
        <v>1476.7</v>
      </c>
      <c r="E24" s="4">
        <v>46.503</v>
      </c>
      <c r="F24" s="6">
        <v>3.1489999999999997E-2</v>
      </c>
      <c r="G24" s="7">
        <f t="shared" si="0"/>
        <v>1.1999991251967967</v>
      </c>
      <c r="H24" s="1">
        <v>2.448E+22</v>
      </c>
      <c r="I24" s="2">
        <f t="shared" si="1"/>
        <v>22.388811413473523</v>
      </c>
      <c r="J24" s="2">
        <f t="shared" si="2"/>
        <v>23.58881053867032</v>
      </c>
      <c r="K24" s="1">
        <f t="shared" si="3"/>
        <v>2.5774453244461361E-24</v>
      </c>
      <c r="L24" s="17">
        <f t="shared" si="4"/>
        <v>1477.4320353264986</v>
      </c>
    </row>
    <row r="25" spans="1:12" x14ac:dyDescent="0.3">
      <c r="A25" s="4">
        <v>19.9526</v>
      </c>
      <c r="B25" s="5" t="s">
        <v>8</v>
      </c>
      <c r="C25" s="5">
        <v>-50</v>
      </c>
      <c r="D25" s="4">
        <v>1483.2</v>
      </c>
      <c r="E25" s="4">
        <v>46.886000000000003</v>
      </c>
      <c r="F25" s="6">
        <v>3.1609999999999999E-2</v>
      </c>
      <c r="G25" s="7">
        <f t="shared" si="0"/>
        <v>1.2999994961169838</v>
      </c>
      <c r="H25" s="1">
        <v>2.448E+22</v>
      </c>
      <c r="I25" s="2">
        <f t="shared" si="1"/>
        <v>22.388811413473523</v>
      </c>
      <c r="J25" s="2">
        <f t="shared" si="2"/>
        <v>23.688810909590508</v>
      </c>
      <c r="K25" s="1">
        <f t="shared" si="3"/>
        <v>2.0473358460859247E-24</v>
      </c>
      <c r="L25" s="17">
        <f t="shared" si="4"/>
        <v>1483.9408805595997</v>
      </c>
    </row>
    <row r="26" spans="1:12" x14ac:dyDescent="0.3">
      <c r="A26" s="4">
        <v>25.1189</v>
      </c>
      <c r="B26" s="5" t="s">
        <v>8</v>
      </c>
      <c r="C26" s="5">
        <v>-50</v>
      </c>
      <c r="D26" s="4">
        <v>1490</v>
      </c>
      <c r="E26" s="4">
        <v>47.56</v>
      </c>
      <c r="F26" s="6">
        <v>3.1919999999999997E-2</v>
      </c>
      <c r="G26" s="7">
        <f t="shared" si="0"/>
        <v>1.4000006169763799</v>
      </c>
      <c r="H26" s="1">
        <v>2.448E+22</v>
      </c>
      <c r="I26" s="2">
        <f t="shared" si="1"/>
        <v>22.388811413473523</v>
      </c>
      <c r="J26" s="2">
        <f t="shared" si="2"/>
        <v>23.788812030449904</v>
      </c>
      <c r="K26" s="1">
        <f t="shared" si="3"/>
        <v>1.6262524713508154E-24</v>
      </c>
      <c r="L26" s="17">
        <f t="shared" si="4"/>
        <v>1490.758851592034</v>
      </c>
    </row>
    <row r="27" spans="1:12" x14ac:dyDescent="0.3">
      <c r="A27" s="4">
        <v>31.622800000000002</v>
      </c>
      <c r="B27" s="5" t="s">
        <v>8</v>
      </c>
      <c r="C27" s="5">
        <v>-50</v>
      </c>
      <c r="D27" s="4">
        <v>1497.5</v>
      </c>
      <c r="E27" s="4">
        <v>47.716999999999999</v>
      </c>
      <c r="F27" s="6">
        <v>3.1859999999999999E-2</v>
      </c>
      <c r="G27" s="7">
        <f t="shared" si="0"/>
        <v>1.5000003213429354</v>
      </c>
      <c r="H27" s="1">
        <v>2.448E+22</v>
      </c>
      <c r="I27" s="2">
        <f t="shared" si="1"/>
        <v>22.388811413473523</v>
      </c>
      <c r="J27" s="2">
        <f t="shared" si="2"/>
        <v>23.888811734816457</v>
      </c>
      <c r="K27" s="1">
        <f t="shared" si="3"/>
        <v>1.2917791341252013E-24</v>
      </c>
      <c r="L27" s="17">
        <f t="shared" si="4"/>
        <v>1498.2600448817288</v>
      </c>
    </row>
    <row r="28" spans="1:12" x14ac:dyDescent="0.3">
      <c r="A28" s="4">
        <v>39.810699999999997</v>
      </c>
      <c r="B28" s="5" t="s">
        <v>8</v>
      </c>
      <c r="C28" s="5">
        <v>-50</v>
      </c>
      <c r="D28" s="4">
        <v>1503.8</v>
      </c>
      <c r="E28" s="4">
        <v>48.298000000000002</v>
      </c>
      <c r="F28" s="6">
        <v>3.2120000000000003E-2</v>
      </c>
      <c r="G28" s="7">
        <f t="shared" si="0"/>
        <v>1.5999998139434199</v>
      </c>
      <c r="H28" s="1">
        <v>2.448E+22</v>
      </c>
      <c r="I28" s="2">
        <f t="shared" si="1"/>
        <v>22.388811413473523</v>
      </c>
      <c r="J28" s="2">
        <f t="shared" si="2"/>
        <v>23.988811227416942</v>
      </c>
      <c r="K28" s="1">
        <f t="shared" si="3"/>
        <v>1.0260978380840903E-24</v>
      </c>
      <c r="L28" s="17">
        <f t="shared" si="4"/>
        <v>1504.57540083706</v>
      </c>
    </row>
    <row r="29" spans="1:12" x14ac:dyDescent="0.3">
      <c r="A29" s="4">
        <v>50.1188</v>
      </c>
      <c r="B29" s="5" t="s">
        <v>8</v>
      </c>
      <c r="C29" s="5">
        <v>-50</v>
      </c>
      <c r="D29" s="4">
        <v>1510.6</v>
      </c>
      <c r="E29" s="4">
        <v>48.701000000000001</v>
      </c>
      <c r="F29" s="6">
        <v>3.2239999999999998E-2</v>
      </c>
      <c r="G29" s="7">
        <f t="shared" si="0"/>
        <v>1.7000006640855352</v>
      </c>
      <c r="H29" s="1">
        <v>2.448E+22</v>
      </c>
      <c r="I29" s="2">
        <f t="shared" si="1"/>
        <v>22.388811413473523</v>
      </c>
      <c r="J29" s="2">
        <f t="shared" si="2"/>
        <v>24.088812077559059</v>
      </c>
      <c r="K29" s="1">
        <f t="shared" si="3"/>
        <v>8.1505688888429245E-25</v>
      </c>
      <c r="L29" s="17">
        <f t="shared" si="4"/>
        <v>1511.3848442408703</v>
      </c>
    </row>
    <row r="30" spans="1:12" x14ac:dyDescent="0.3">
      <c r="A30" s="4">
        <v>63.095799999999997</v>
      </c>
      <c r="B30" s="5" t="s">
        <v>8</v>
      </c>
      <c r="C30" s="5">
        <v>-50</v>
      </c>
      <c r="D30" s="4">
        <v>1517.3</v>
      </c>
      <c r="E30" s="4">
        <v>48.829000000000001</v>
      </c>
      <c r="F30" s="6">
        <v>3.218E-2</v>
      </c>
      <c r="G30" s="7">
        <f t="shared" si="0"/>
        <v>1.800000451200845</v>
      </c>
      <c r="H30" s="1">
        <v>2.448E+22</v>
      </c>
      <c r="I30" s="2">
        <f t="shared" si="1"/>
        <v>22.388811413473523</v>
      </c>
      <c r="J30" s="2">
        <f t="shared" si="2"/>
        <v>24.188811864674367</v>
      </c>
      <c r="K30" s="1">
        <f t="shared" si="3"/>
        <v>6.4742301710437413E-25</v>
      </c>
      <c r="L30" s="17">
        <f t="shared" si="4"/>
        <v>1518.0854920724985</v>
      </c>
    </row>
    <row r="31" spans="1:12" x14ac:dyDescent="0.3">
      <c r="A31" s="4">
        <v>79.432900000000004</v>
      </c>
      <c r="B31" s="5" t="s">
        <v>8</v>
      </c>
      <c r="C31" s="5">
        <v>-50</v>
      </c>
      <c r="D31" s="4">
        <v>1523.9</v>
      </c>
      <c r="E31" s="4">
        <v>49.097000000000001</v>
      </c>
      <c r="F31" s="6">
        <v>3.2219999999999999E-2</v>
      </c>
      <c r="G31" s="7">
        <f t="shared" si="0"/>
        <v>1.900000418409981</v>
      </c>
      <c r="H31" s="1">
        <v>2.448E+22</v>
      </c>
      <c r="I31" s="2">
        <f t="shared" si="1"/>
        <v>22.388811413473523</v>
      </c>
      <c r="J31" s="2">
        <f t="shared" si="2"/>
        <v>24.288811831883503</v>
      </c>
      <c r="K31" s="1">
        <f t="shared" si="3"/>
        <v>5.1426642112543131E-25</v>
      </c>
      <c r="L31" s="17">
        <f t="shared" si="4"/>
        <v>1524.6906982758833</v>
      </c>
    </row>
    <row r="32" spans="1:12" x14ac:dyDescent="0.3">
      <c r="A32" s="4">
        <v>100</v>
      </c>
      <c r="B32" s="5" t="s">
        <v>8</v>
      </c>
      <c r="C32" s="5">
        <v>-50</v>
      </c>
      <c r="D32" s="4">
        <v>1530.4</v>
      </c>
      <c r="E32" s="4">
        <v>48.073999999999998</v>
      </c>
      <c r="F32" s="6">
        <v>3.141E-2</v>
      </c>
      <c r="G32" s="7">
        <f t="shared" si="0"/>
        <v>2</v>
      </c>
      <c r="H32" s="1">
        <v>2.448E+22</v>
      </c>
      <c r="I32" s="2">
        <f t="shared" si="1"/>
        <v>22.388811413473523</v>
      </c>
      <c r="J32" s="2">
        <f t="shared" si="2"/>
        <v>24.388811413473523</v>
      </c>
      <c r="K32" s="1">
        <f t="shared" si="3"/>
        <v>4.0849673202614226E-25</v>
      </c>
      <c r="L32" s="17">
        <f t="shared" si="4"/>
        <v>1531.1548809562016</v>
      </c>
    </row>
    <row r="33" spans="1:12" x14ac:dyDescent="0.3">
      <c r="A33" s="9">
        <v>0.1</v>
      </c>
      <c r="B33" s="10" t="s">
        <v>9</v>
      </c>
      <c r="C33" s="5">
        <v>-40</v>
      </c>
      <c r="D33" s="9">
        <v>1154.5</v>
      </c>
      <c r="E33" s="9">
        <v>62.043999999999997</v>
      </c>
      <c r="F33" s="11">
        <v>5.3740000000000003E-2</v>
      </c>
      <c r="G33" s="12">
        <f t="shared" si="0"/>
        <v>-1</v>
      </c>
      <c r="H33" s="1">
        <v>2.262096E+20</v>
      </c>
      <c r="I33" s="2">
        <f t="shared" si="1"/>
        <v>20.354511031794374</v>
      </c>
      <c r="J33" s="2">
        <f t="shared" si="2"/>
        <v>19.354511031794374</v>
      </c>
      <c r="K33" s="1">
        <f t="shared" si="3"/>
        <v>4.4206788748134536E-20</v>
      </c>
      <c r="L33" s="17">
        <f t="shared" si="4"/>
        <v>1156.165951728384</v>
      </c>
    </row>
    <row r="34" spans="1:12" x14ac:dyDescent="0.3">
      <c r="A34" s="9">
        <v>0.12589</v>
      </c>
      <c r="B34" s="10" t="s">
        <v>9</v>
      </c>
      <c r="C34" s="5">
        <v>-40</v>
      </c>
      <c r="D34" s="9">
        <v>1164.8</v>
      </c>
      <c r="E34" s="9">
        <v>58.216000000000001</v>
      </c>
      <c r="F34" s="11">
        <v>4.9979999999999997E-2</v>
      </c>
      <c r="G34" s="12">
        <f t="shared" si="0"/>
        <v>-0.90000876645531558</v>
      </c>
      <c r="H34" s="1">
        <v>2.262096E+20</v>
      </c>
      <c r="I34" s="2">
        <f t="shared" si="1"/>
        <v>20.354511031794374</v>
      </c>
      <c r="J34" s="2">
        <f t="shared" si="2"/>
        <v>19.454502265339059</v>
      </c>
      <c r="K34" s="1">
        <f t="shared" si="3"/>
        <v>3.5115409284402468E-20</v>
      </c>
      <c r="L34" s="17">
        <f t="shared" si="4"/>
        <v>1166.2538928792478</v>
      </c>
    </row>
    <row r="35" spans="1:12" x14ac:dyDescent="0.3">
      <c r="A35" s="9">
        <v>0.15848999999999999</v>
      </c>
      <c r="B35" s="10" t="s">
        <v>9</v>
      </c>
      <c r="C35" s="5">
        <v>-40</v>
      </c>
      <c r="D35" s="9">
        <v>1175.2</v>
      </c>
      <c r="E35" s="9">
        <v>56.523000000000003</v>
      </c>
      <c r="F35" s="11">
        <v>4.8090000000000001E-2</v>
      </c>
      <c r="G35" s="12">
        <f t="shared" si="0"/>
        <v>-0.79999813459339819</v>
      </c>
      <c r="H35" s="1">
        <v>2.262096E+20</v>
      </c>
      <c r="I35" s="2">
        <f t="shared" si="1"/>
        <v>20.354511031794374</v>
      </c>
      <c r="J35" s="2">
        <f t="shared" si="2"/>
        <v>19.554512897200976</v>
      </c>
      <c r="K35" s="1">
        <f t="shared" si="3"/>
        <v>2.7892478230887961E-20</v>
      </c>
      <c r="L35" s="17">
        <f t="shared" si="4"/>
        <v>1176.5584938833258</v>
      </c>
    </row>
    <row r="36" spans="1:12" x14ac:dyDescent="0.3">
      <c r="A36" s="9">
        <v>0.19953000000000001</v>
      </c>
      <c r="B36" s="10" t="s">
        <v>9</v>
      </c>
      <c r="C36" s="5">
        <v>-40</v>
      </c>
      <c r="D36" s="9">
        <v>1184.5999999999999</v>
      </c>
      <c r="E36" s="9">
        <v>55.497</v>
      </c>
      <c r="F36" s="11">
        <v>4.6850000000000003E-2</v>
      </c>
      <c r="G36" s="12">
        <f t="shared" si="0"/>
        <v>-0.69999179744618689</v>
      </c>
      <c r="H36" s="1">
        <v>2.262096E+20</v>
      </c>
      <c r="I36" s="2">
        <f t="shared" si="1"/>
        <v>20.354511031794374</v>
      </c>
      <c r="J36" s="2">
        <f t="shared" si="2"/>
        <v>19.654519234348186</v>
      </c>
      <c r="K36" s="1">
        <f t="shared" si="3"/>
        <v>2.2155459704372609E-20</v>
      </c>
      <c r="L36" s="17">
        <f t="shared" si="4"/>
        <v>1185.8992693348789</v>
      </c>
    </row>
    <row r="37" spans="1:12" x14ac:dyDescent="0.3">
      <c r="A37" s="9">
        <v>0.25119000000000002</v>
      </c>
      <c r="B37" s="10" t="s">
        <v>9</v>
      </c>
      <c r="C37" s="5">
        <v>-40</v>
      </c>
      <c r="D37" s="9">
        <v>1193.5</v>
      </c>
      <c r="E37" s="9">
        <v>54.540999999999997</v>
      </c>
      <c r="F37" s="11">
        <v>4.5699999999999998E-2</v>
      </c>
      <c r="G37" s="12">
        <f t="shared" si="0"/>
        <v>-0.59999765407204408</v>
      </c>
      <c r="H37" s="1">
        <v>2.262096E+20</v>
      </c>
      <c r="I37" s="2">
        <f t="shared" si="1"/>
        <v>20.354511031794374</v>
      </c>
      <c r="J37" s="2">
        <f t="shared" si="2"/>
        <v>19.754513377722329</v>
      </c>
      <c r="K37" s="1">
        <f t="shared" si="3"/>
        <v>1.7598944523322816E-20</v>
      </c>
      <c r="L37" s="17">
        <f t="shared" si="4"/>
        <v>1194.7455673410134</v>
      </c>
    </row>
    <row r="38" spans="1:12" x14ac:dyDescent="0.3">
      <c r="A38" s="9">
        <v>0.31623000000000001</v>
      </c>
      <c r="B38" s="10" t="s">
        <v>9</v>
      </c>
      <c r="C38" s="5">
        <v>-40</v>
      </c>
      <c r="D38" s="9">
        <v>1202.3</v>
      </c>
      <c r="E38" s="9">
        <v>54.372999999999998</v>
      </c>
      <c r="F38" s="11">
        <v>4.5229999999999999E-2</v>
      </c>
      <c r="G38" s="12">
        <f t="shared" si="0"/>
        <v>-0.4999969319483068</v>
      </c>
      <c r="H38" s="1">
        <v>2.262096E+20</v>
      </c>
      <c r="I38" s="2">
        <f t="shared" si="1"/>
        <v>20.354511031794374</v>
      </c>
      <c r="J38" s="2">
        <f t="shared" si="2"/>
        <v>19.854514099846067</v>
      </c>
      <c r="K38" s="1">
        <f t="shared" si="3"/>
        <v>1.3979315292076765E-20</v>
      </c>
      <c r="L38" s="17">
        <f t="shared" si="4"/>
        <v>1203.5288584529246</v>
      </c>
    </row>
    <row r="39" spans="1:12" x14ac:dyDescent="0.3">
      <c r="A39" s="9">
        <v>0.39811000000000002</v>
      </c>
      <c r="B39" s="10" t="s">
        <v>9</v>
      </c>
      <c r="C39" s="5">
        <v>-40</v>
      </c>
      <c r="D39" s="9">
        <v>1210.9000000000001</v>
      </c>
      <c r="E39" s="9">
        <v>53.438000000000002</v>
      </c>
      <c r="F39" s="11">
        <v>4.4130000000000003E-2</v>
      </c>
      <c r="G39" s="12">
        <f t="shared" si="0"/>
        <v>-0.39999691337225962</v>
      </c>
      <c r="H39" s="1">
        <v>2.262096E+20</v>
      </c>
      <c r="I39" s="2">
        <f t="shared" si="1"/>
        <v>20.354511031794374</v>
      </c>
      <c r="J39" s="2">
        <f t="shared" si="2"/>
        <v>19.954514118422114</v>
      </c>
      <c r="K39" s="1">
        <f t="shared" si="3"/>
        <v>1.1104164363651826E-20</v>
      </c>
      <c r="L39" s="17">
        <f t="shared" si="4"/>
        <v>1212.0785576207511</v>
      </c>
    </row>
    <row r="40" spans="1:12" x14ac:dyDescent="0.3">
      <c r="A40" s="9">
        <v>0.50119000000000002</v>
      </c>
      <c r="B40" s="10" t="s">
        <v>9</v>
      </c>
      <c r="C40" s="5">
        <v>-40</v>
      </c>
      <c r="D40" s="9">
        <v>1218.5</v>
      </c>
      <c r="E40" s="9">
        <v>52.954999999999998</v>
      </c>
      <c r="F40" s="11">
        <v>4.3459999999999999E-2</v>
      </c>
      <c r="G40" s="12">
        <f t="shared" si="0"/>
        <v>-0.29999760285774607</v>
      </c>
      <c r="H40" s="1">
        <v>2.262096E+20</v>
      </c>
      <c r="I40" s="2">
        <f t="shared" si="1"/>
        <v>20.354511031794374</v>
      </c>
      <c r="J40" s="2">
        <f t="shared" si="2"/>
        <v>20.054513428936627</v>
      </c>
      <c r="K40" s="1">
        <f t="shared" si="3"/>
        <v>8.8203652802598965E-21</v>
      </c>
      <c r="L40" s="17">
        <f t="shared" si="4"/>
        <v>1219.6501473885862</v>
      </c>
    </row>
    <row r="41" spans="1:12" x14ac:dyDescent="0.3">
      <c r="A41" s="9">
        <v>0.63095999999999997</v>
      </c>
      <c r="B41" s="10" t="s">
        <v>9</v>
      </c>
      <c r="C41" s="5">
        <v>-40</v>
      </c>
      <c r="D41" s="9">
        <v>1226.2</v>
      </c>
      <c r="E41" s="9">
        <v>52.643999999999998</v>
      </c>
      <c r="F41" s="11">
        <v>4.2930000000000003E-2</v>
      </c>
      <c r="G41" s="12">
        <f t="shared" si="0"/>
        <v>-0.19999817218203128</v>
      </c>
      <c r="H41" s="1">
        <v>2.262096E+20</v>
      </c>
      <c r="I41" s="2">
        <f t="shared" si="1"/>
        <v>20.354511031794374</v>
      </c>
      <c r="J41" s="2">
        <f t="shared" si="2"/>
        <v>20.154512859612343</v>
      </c>
      <c r="K41" s="1">
        <f t="shared" si="3"/>
        <v>7.0062743673345776E-21</v>
      </c>
      <c r="L41" s="17">
        <f t="shared" si="4"/>
        <v>1227.329552620648</v>
      </c>
    </row>
    <row r="42" spans="1:12" x14ac:dyDescent="0.3">
      <c r="A42" s="9">
        <v>0.79432999999999998</v>
      </c>
      <c r="B42" s="10" t="s">
        <v>9</v>
      </c>
      <c r="C42" s="5">
        <v>-40</v>
      </c>
      <c r="D42" s="9">
        <v>1233.9000000000001</v>
      </c>
      <c r="E42" s="9">
        <v>52.613</v>
      </c>
      <c r="F42" s="11">
        <v>4.2639999999999997E-2</v>
      </c>
      <c r="G42" s="12">
        <f t="shared" si="0"/>
        <v>-9.9999034846530471E-2</v>
      </c>
      <c r="H42" s="1">
        <v>2.262096E+20</v>
      </c>
      <c r="I42" s="2">
        <f t="shared" si="1"/>
        <v>20.354511031794374</v>
      </c>
      <c r="J42" s="2">
        <f t="shared" si="2"/>
        <v>20.254511996947844</v>
      </c>
      <c r="K42" s="1">
        <f t="shared" si="3"/>
        <v>5.5652926048537095E-21</v>
      </c>
      <c r="L42" s="17">
        <f t="shared" si="4"/>
        <v>1235.0211891983879</v>
      </c>
    </row>
    <row r="43" spans="1:12" x14ac:dyDescent="0.3">
      <c r="A43" s="9">
        <v>1</v>
      </c>
      <c r="B43" s="10" t="s">
        <v>9</v>
      </c>
      <c r="C43" s="5">
        <v>-40</v>
      </c>
      <c r="D43" s="9">
        <v>1241.4000000000001</v>
      </c>
      <c r="E43" s="9">
        <v>52.241999999999997</v>
      </c>
      <c r="F43" s="11">
        <v>4.2079999999999999E-2</v>
      </c>
      <c r="G43" s="12">
        <f t="shared" si="0"/>
        <v>0</v>
      </c>
      <c r="H43" s="1">
        <v>2.262096E+20</v>
      </c>
      <c r="I43" s="2">
        <f t="shared" si="1"/>
        <v>20.354511031794374</v>
      </c>
      <c r="J43" s="2">
        <f t="shared" si="2"/>
        <v>20.354511031794374</v>
      </c>
      <c r="K43" s="1">
        <f t="shared" si="3"/>
        <v>4.4206788748134333E-21</v>
      </c>
      <c r="L43" s="17">
        <f t="shared" si="4"/>
        <v>1242.4987672283623</v>
      </c>
    </row>
    <row r="44" spans="1:12" x14ac:dyDescent="0.3">
      <c r="A44" s="9">
        <v>1.2589300000000001</v>
      </c>
      <c r="B44" s="10" t="s">
        <v>9</v>
      </c>
      <c r="C44" s="5">
        <v>-40</v>
      </c>
      <c r="D44" s="9">
        <v>1249.0999999999999</v>
      </c>
      <c r="E44" s="9">
        <v>52.255000000000003</v>
      </c>
      <c r="F44" s="11">
        <v>4.1829999999999999E-2</v>
      </c>
      <c r="G44" s="12">
        <f t="shared" si="0"/>
        <v>0.10000158280135207</v>
      </c>
      <c r="H44" s="1">
        <v>2.262096E+20</v>
      </c>
      <c r="I44" s="2">
        <f t="shared" si="1"/>
        <v>20.354511031794374</v>
      </c>
      <c r="J44" s="2">
        <f t="shared" si="2"/>
        <v>20.454512614595725</v>
      </c>
      <c r="K44" s="1">
        <f t="shared" si="3"/>
        <v>3.5114572492620406E-21</v>
      </c>
      <c r="L44" s="17">
        <f t="shared" si="4"/>
        <v>1250.1925431808493</v>
      </c>
    </row>
    <row r="45" spans="1:12" x14ac:dyDescent="0.3">
      <c r="A45" s="9">
        <v>1.5848899999999999</v>
      </c>
      <c r="B45" s="10" t="s">
        <v>9</v>
      </c>
      <c r="C45" s="5">
        <v>-40</v>
      </c>
      <c r="D45" s="9">
        <v>1256.5</v>
      </c>
      <c r="E45" s="9">
        <v>52.231000000000002</v>
      </c>
      <c r="F45" s="11">
        <v>4.1570000000000003E-2</v>
      </c>
      <c r="G45" s="12">
        <f t="shared" si="0"/>
        <v>0.19999912519679666</v>
      </c>
      <c r="H45" s="1">
        <v>2.262096E+20</v>
      </c>
      <c r="I45" s="2">
        <f t="shared" si="1"/>
        <v>20.354511031794374</v>
      </c>
      <c r="J45" s="2">
        <f t="shared" si="2"/>
        <v>20.554510156991171</v>
      </c>
      <c r="K45" s="1">
        <f t="shared" si="3"/>
        <v>2.7892654220882384E-21</v>
      </c>
      <c r="L45" s="17">
        <f t="shared" si="4"/>
        <v>1257.5851173423609</v>
      </c>
    </row>
    <row r="46" spans="1:12" x14ac:dyDescent="0.3">
      <c r="A46" s="9">
        <v>1.99526</v>
      </c>
      <c r="B46" s="10" t="s">
        <v>9</v>
      </c>
      <c r="C46" s="5">
        <v>-40</v>
      </c>
      <c r="D46" s="9">
        <v>1263.5</v>
      </c>
      <c r="E46" s="9">
        <v>52.387</v>
      </c>
      <c r="F46" s="11">
        <v>4.1459999999999997E-2</v>
      </c>
      <c r="G46" s="12">
        <f t="shared" si="0"/>
        <v>0.29999949611698379</v>
      </c>
      <c r="H46" s="1">
        <v>2.262096E+20</v>
      </c>
      <c r="I46" s="2">
        <f t="shared" si="1"/>
        <v>20.354511031794374</v>
      </c>
      <c r="J46" s="2">
        <f t="shared" si="2"/>
        <v>20.654510527911359</v>
      </c>
      <c r="K46" s="1">
        <f t="shared" si="3"/>
        <v>2.2155903866230078E-21</v>
      </c>
      <c r="L46" s="17">
        <f t="shared" si="4"/>
        <v>1264.5855636409108</v>
      </c>
    </row>
    <row r="47" spans="1:12" x14ac:dyDescent="0.3">
      <c r="A47" s="9">
        <v>2.5118900000000002</v>
      </c>
      <c r="B47" s="10" t="s">
        <v>9</v>
      </c>
      <c r="C47" s="5">
        <v>-40</v>
      </c>
      <c r="D47" s="9">
        <v>1271.0999999999999</v>
      </c>
      <c r="E47" s="9">
        <v>52.082000000000001</v>
      </c>
      <c r="F47" s="11">
        <v>4.0969999999999999E-2</v>
      </c>
      <c r="G47" s="12">
        <f t="shared" si="0"/>
        <v>0.40000061697637995</v>
      </c>
      <c r="H47" s="1">
        <v>2.262096E+20</v>
      </c>
      <c r="I47" s="2">
        <f t="shared" si="1"/>
        <v>20.354511031794374</v>
      </c>
      <c r="J47" s="2">
        <f t="shared" si="2"/>
        <v>20.754511648770755</v>
      </c>
      <c r="K47" s="1">
        <f t="shared" si="3"/>
        <v>1.7599014585883217E-21</v>
      </c>
      <c r="L47" s="17">
        <f t="shared" si="4"/>
        <v>1272.1665554179608</v>
      </c>
    </row>
    <row r="48" spans="1:12" x14ac:dyDescent="0.3">
      <c r="A48" s="9">
        <v>3.16228</v>
      </c>
      <c r="B48" s="10" t="s">
        <v>9</v>
      </c>
      <c r="C48" s="5">
        <v>-40</v>
      </c>
      <c r="D48" s="9">
        <v>1278.4000000000001</v>
      </c>
      <c r="E48" s="9">
        <v>51.712000000000003</v>
      </c>
      <c r="F48" s="11">
        <v>4.045E-2</v>
      </c>
      <c r="G48" s="12">
        <f t="shared" si="0"/>
        <v>0.50000032134293526</v>
      </c>
      <c r="H48" s="1">
        <v>2.262096E+20</v>
      </c>
      <c r="I48" s="2">
        <f t="shared" si="1"/>
        <v>20.354511031794374</v>
      </c>
      <c r="J48" s="2">
        <f t="shared" si="2"/>
        <v>20.854511353137308</v>
      </c>
      <c r="K48" s="1">
        <f t="shared" si="3"/>
        <v>1.3979403704964246E-21</v>
      </c>
      <c r="L48" s="17">
        <f t="shared" si="4"/>
        <v>1279.445462278092</v>
      </c>
    </row>
    <row r="49" spans="1:12" x14ac:dyDescent="0.3">
      <c r="A49" s="9">
        <v>3.9810699999999999</v>
      </c>
      <c r="B49" s="10" t="s">
        <v>9</v>
      </c>
      <c r="C49" s="5">
        <v>-40</v>
      </c>
      <c r="D49" s="9">
        <v>1285.5</v>
      </c>
      <c r="E49" s="9">
        <v>52.216999999999999</v>
      </c>
      <c r="F49" s="11">
        <v>4.0620000000000003E-2</v>
      </c>
      <c r="G49" s="12">
        <f t="shared" si="0"/>
        <v>0.59999981394342006</v>
      </c>
      <c r="H49" s="1">
        <v>2.262096E+20</v>
      </c>
      <c r="I49" s="2">
        <f t="shared" si="1"/>
        <v>20.354511031794374</v>
      </c>
      <c r="J49" s="2">
        <f t="shared" si="2"/>
        <v>20.954510845737794</v>
      </c>
      <c r="K49" s="1">
        <f t="shared" si="3"/>
        <v>1.1104248040887127E-21</v>
      </c>
      <c r="L49" s="17">
        <f t="shared" si="4"/>
        <v>1286.5600899643202</v>
      </c>
    </row>
    <row r="50" spans="1:12" x14ac:dyDescent="0.3">
      <c r="A50" s="9">
        <v>5.01187</v>
      </c>
      <c r="B50" s="10" t="s">
        <v>9</v>
      </c>
      <c r="C50" s="5">
        <v>-40</v>
      </c>
      <c r="D50" s="9">
        <v>1292.8</v>
      </c>
      <c r="E50" s="9">
        <v>52.110999999999997</v>
      </c>
      <c r="F50" s="11">
        <v>4.0309999999999999E-2</v>
      </c>
      <c r="G50" s="12">
        <f t="shared" si="0"/>
        <v>0.69999979755458241</v>
      </c>
      <c r="H50" s="1">
        <v>2.262096E+20</v>
      </c>
      <c r="I50" s="2">
        <f t="shared" si="1"/>
        <v>20.354511031794374</v>
      </c>
      <c r="J50" s="2">
        <f t="shared" si="2"/>
        <v>21.054510829348956</v>
      </c>
      <c r="K50" s="1">
        <f t="shared" si="3"/>
        <v>8.8204180771118192E-22</v>
      </c>
      <c r="L50" s="17">
        <f t="shared" si="4"/>
        <v>1293.8498353058596</v>
      </c>
    </row>
    <row r="51" spans="1:12" x14ac:dyDescent="0.3">
      <c r="A51" s="9">
        <v>6.3095800000000004</v>
      </c>
      <c r="B51" s="10" t="s">
        <v>9</v>
      </c>
      <c r="C51" s="5">
        <v>-40</v>
      </c>
      <c r="D51" s="9">
        <v>1300.0999999999999</v>
      </c>
      <c r="E51" s="9">
        <v>52.067999999999998</v>
      </c>
      <c r="F51" s="11">
        <v>4.0050000000000002E-2</v>
      </c>
      <c r="G51" s="12">
        <f t="shared" si="0"/>
        <v>0.80000045120084495</v>
      </c>
      <c r="H51" s="1">
        <v>2.262096E+20</v>
      </c>
      <c r="I51" s="2">
        <f t="shared" si="1"/>
        <v>20.354511031794374</v>
      </c>
      <c r="J51" s="2">
        <f t="shared" si="2"/>
        <v>21.154511482995218</v>
      </c>
      <c r="K51" s="1">
        <f t="shared" si="3"/>
        <v>7.0062965757046248E-22</v>
      </c>
      <c r="L51" s="17">
        <f t="shared" si="4"/>
        <v>1301.1422238264347</v>
      </c>
    </row>
    <row r="52" spans="1:12" x14ac:dyDescent="0.3">
      <c r="A52" s="9">
        <v>7.9432900000000002</v>
      </c>
      <c r="B52" s="10" t="s">
        <v>9</v>
      </c>
      <c r="C52" s="5">
        <v>-40</v>
      </c>
      <c r="D52" s="9">
        <v>1307.5</v>
      </c>
      <c r="E52" s="9">
        <v>52.453000000000003</v>
      </c>
      <c r="F52" s="11">
        <v>4.0120000000000003E-2</v>
      </c>
      <c r="G52" s="12">
        <f t="shared" si="0"/>
        <v>0.90000041840998102</v>
      </c>
      <c r="H52" s="1">
        <v>2.262096E+20</v>
      </c>
      <c r="I52" s="2">
        <f t="shared" si="1"/>
        <v>20.354511031794374</v>
      </c>
      <c r="J52" s="2">
        <f t="shared" si="2"/>
        <v>21.254511450204355</v>
      </c>
      <c r="K52" s="1">
        <f t="shared" si="3"/>
        <v>5.5652996111352472E-22</v>
      </c>
      <c r="L52" s="17">
        <f t="shared" si="4"/>
        <v>1308.5517059745862</v>
      </c>
    </row>
    <row r="53" spans="1:12" x14ac:dyDescent="0.3">
      <c r="A53" s="9">
        <v>10</v>
      </c>
      <c r="B53" s="10" t="s">
        <v>9</v>
      </c>
      <c r="C53" s="5">
        <v>-40</v>
      </c>
      <c r="D53" s="9">
        <v>1314.9</v>
      </c>
      <c r="E53" s="9">
        <v>52.752000000000002</v>
      </c>
      <c r="F53" s="11">
        <v>4.0120000000000003E-2</v>
      </c>
      <c r="G53" s="12">
        <f t="shared" si="0"/>
        <v>1</v>
      </c>
      <c r="H53" s="1">
        <v>2.262096E+20</v>
      </c>
      <c r="I53" s="2">
        <f t="shared" si="1"/>
        <v>20.354511031794374</v>
      </c>
      <c r="J53" s="2">
        <f t="shared" si="2"/>
        <v>21.354511031794374</v>
      </c>
      <c r="K53" s="1">
        <f t="shared" si="3"/>
        <v>4.420678874813444E-22</v>
      </c>
      <c r="L53" s="17">
        <f t="shared" si="4"/>
        <v>1315.9577438139875</v>
      </c>
    </row>
    <row r="54" spans="1:12" x14ac:dyDescent="0.3">
      <c r="A54" s="9">
        <v>12.5893</v>
      </c>
      <c r="B54" s="10" t="s">
        <v>9</v>
      </c>
      <c r="C54" s="5">
        <v>-40</v>
      </c>
      <c r="D54" s="9">
        <v>1322.6</v>
      </c>
      <c r="E54" s="9">
        <v>53.249000000000002</v>
      </c>
      <c r="F54" s="11">
        <v>4.0259999999999997E-2</v>
      </c>
      <c r="G54" s="12">
        <f t="shared" si="0"/>
        <v>1.1000015828013521</v>
      </c>
      <c r="H54" s="1">
        <v>2.262096E+20</v>
      </c>
      <c r="I54" s="2">
        <f t="shared" si="1"/>
        <v>20.354511031794374</v>
      </c>
      <c r="J54" s="2">
        <f t="shared" si="2"/>
        <v>21.454512614595725</v>
      </c>
      <c r="K54" s="1">
        <f t="shared" si="3"/>
        <v>3.5114572492620243E-22</v>
      </c>
      <c r="L54" s="17">
        <f t="shared" si="4"/>
        <v>1323.6714909678306</v>
      </c>
    </row>
    <row r="55" spans="1:12" x14ac:dyDescent="0.3">
      <c r="A55" s="9">
        <v>15.8489</v>
      </c>
      <c r="B55" s="10" t="s">
        <v>9</v>
      </c>
      <c r="C55" s="5">
        <v>-40</v>
      </c>
      <c r="D55" s="9">
        <v>1329.7</v>
      </c>
      <c r="E55" s="9">
        <v>53.737000000000002</v>
      </c>
      <c r="F55" s="11">
        <v>4.0410000000000001E-2</v>
      </c>
      <c r="G55" s="12">
        <f t="shared" si="0"/>
        <v>1.1999991251967967</v>
      </c>
      <c r="H55" s="1">
        <v>2.262096E+20</v>
      </c>
      <c r="I55" s="2">
        <f t="shared" si="1"/>
        <v>20.354511031794374</v>
      </c>
      <c r="J55" s="2">
        <f t="shared" si="2"/>
        <v>21.554510156991171</v>
      </c>
      <c r="K55" s="1">
        <f t="shared" si="3"/>
        <v>2.7892654220882457E-22</v>
      </c>
      <c r="L55" s="17">
        <f t="shared" si="4"/>
        <v>1330.7853903499993</v>
      </c>
    </row>
    <row r="56" spans="1:12" x14ac:dyDescent="0.3">
      <c r="A56" s="9">
        <v>19.9526</v>
      </c>
      <c r="B56" s="10" t="s">
        <v>9</v>
      </c>
      <c r="C56" s="5">
        <v>-40</v>
      </c>
      <c r="D56" s="9">
        <v>1337.4</v>
      </c>
      <c r="E56" s="9">
        <v>54.008000000000003</v>
      </c>
      <c r="F56" s="11">
        <v>4.0379999999999999E-2</v>
      </c>
      <c r="G56" s="12">
        <f t="shared" si="0"/>
        <v>1.2999994961169838</v>
      </c>
      <c r="H56" s="1">
        <v>2.262096E+20</v>
      </c>
      <c r="I56" s="2">
        <f t="shared" si="1"/>
        <v>20.354511031794374</v>
      </c>
      <c r="J56" s="2">
        <f t="shared" si="2"/>
        <v>21.654510527911359</v>
      </c>
      <c r="K56" s="1">
        <f t="shared" si="3"/>
        <v>2.2155903866230129E-22</v>
      </c>
      <c r="L56" s="17">
        <f t="shared" si="4"/>
        <v>1338.4900537785106</v>
      </c>
    </row>
    <row r="57" spans="1:12" x14ac:dyDescent="0.3">
      <c r="A57" s="9">
        <v>25.1189</v>
      </c>
      <c r="B57" s="10" t="s">
        <v>9</v>
      </c>
      <c r="C57" s="5">
        <v>-40</v>
      </c>
      <c r="D57" s="9">
        <v>1345.2</v>
      </c>
      <c r="E57" s="9">
        <v>54.673000000000002</v>
      </c>
      <c r="F57" s="11">
        <v>4.0640000000000003E-2</v>
      </c>
      <c r="G57" s="12">
        <f t="shared" si="0"/>
        <v>1.4000006169763799</v>
      </c>
      <c r="H57" s="1">
        <v>2.262096E+20</v>
      </c>
      <c r="I57" s="2">
        <f t="shared" si="1"/>
        <v>20.354511031794374</v>
      </c>
      <c r="J57" s="2">
        <f t="shared" si="2"/>
        <v>21.754511648770755</v>
      </c>
      <c r="K57" s="1">
        <f t="shared" si="3"/>
        <v>1.759901458588326E-22</v>
      </c>
      <c r="L57" s="17">
        <f t="shared" si="4"/>
        <v>1346.3105796691193</v>
      </c>
    </row>
    <row r="58" spans="1:12" x14ac:dyDescent="0.3">
      <c r="A58" s="9">
        <v>31.622800000000002</v>
      </c>
      <c r="B58" s="10" t="s">
        <v>9</v>
      </c>
      <c r="C58" s="5">
        <v>-40</v>
      </c>
      <c r="D58" s="9">
        <v>1352.6</v>
      </c>
      <c r="E58" s="9">
        <v>55.893000000000001</v>
      </c>
      <c r="F58" s="11">
        <v>4.1320000000000003E-2</v>
      </c>
      <c r="G58" s="12">
        <f t="shared" si="0"/>
        <v>1.5000003213429354</v>
      </c>
      <c r="H58" s="1">
        <v>2.262096E+20</v>
      </c>
      <c r="I58" s="2">
        <f t="shared" si="1"/>
        <v>20.354511031794374</v>
      </c>
      <c r="J58" s="2">
        <f t="shared" si="2"/>
        <v>21.854511353137308</v>
      </c>
      <c r="K58" s="1">
        <f t="shared" si="3"/>
        <v>1.3979403704964282E-22</v>
      </c>
      <c r="L58" s="17">
        <f t="shared" si="4"/>
        <v>1353.754330537487</v>
      </c>
    </row>
    <row r="59" spans="1:12" x14ac:dyDescent="0.3">
      <c r="A59" s="9">
        <v>39.810699999999997</v>
      </c>
      <c r="B59" s="10" t="s">
        <v>9</v>
      </c>
      <c r="C59" s="5">
        <v>-40</v>
      </c>
      <c r="D59" s="9">
        <v>1360.6</v>
      </c>
      <c r="E59" s="9">
        <v>56.100999999999999</v>
      </c>
      <c r="F59" s="11">
        <v>4.1230000000000003E-2</v>
      </c>
      <c r="G59" s="12">
        <f t="shared" si="0"/>
        <v>1.5999998139434199</v>
      </c>
      <c r="H59" s="1">
        <v>2.262096E+20</v>
      </c>
      <c r="I59" s="2">
        <f t="shared" si="1"/>
        <v>20.354511031794374</v>
      </c>
      <c r="J59" s="2">
        <f t="shared" si="2"/>
        <v>21.954510845737794</v>
      </c>
      <c r="K59" s="1">
        <f t="shared" si="3"/>
        <v>1.1104248040887076E-22</v>
      </c>
      <c r="L59" s="17">
        <f t="shared" si="4"/>
        <v>1361.7561023182527</v>
      </c>
    </row>
    <row r="60" spans="1:12" x14ac:dyDescent="0.3">
      <c r="A60" s="9">
        <v>50.1188</v>
      </c>
      <c r="B60" s="10" t="s">
        <v>9</v>
      </c>
      <c r="C60" s="5">
        <v>-40</v>
      </c>
      <c r="D60" s="9">
        <v>1368.5</v>
      </c>
      <c r="E60" s="9">
        <v>56.499000000000002</v>
      </c>
      <c r="F60" s="11">
        <v>4.129E-2</v>
      </c>
      <c r="G60" s="12">
        <f t="shared" si="0"/>
        <v>1.7000006640855352</v>
      </c>
      <c r="H60" s="1">
        <v>2.262096E+20</v>
      </c>
      <c r="I60" s="2">
        <f t="shared" si="1"/>
        <v>20.354511031794374</v>
      </c>
      <c r="J60" s="2">
        <f t="shared" si="2"/>
        <v>22.05451169587991</v>
      </c>
      <c r="K60" s="1">
        <f t="shared" si="3"/>
        <v>8.8204004780909333E-23</v>
      </c>
      <c r="L60" s="17">
        <f t="shared" si="4"/>
        <v>1369.6657939077693</v>
      </c>
    </row>
    <row r="61" spans="1:12" x14ac:dyDescent="0.3">
      <c r="A61" s="9">
        <v>63.095799999999997</v>
      </c>
      <c r="B61" s="10" t="s">
        <v>9</v>
      </c>
      <c r="C61" s="5">
        <v>-40</v>
      </c>
      <c r="D61" s="9">
        <v>1376.1</v>
      </c>
      <c r="E61" s="9">
        <v>56.924999999999997</v>
      </c>
      <c r="F61" s="11">
        <v>4.1369999999999997E-2</v>
      </c>
      <c r="G61" s="12">
        <f t="shared" si="0"/>
        <v>1.800000451200845</v>
      </c>
      <c r="H61" s="1">
        <v>2.262096E+20</v>
      </c>
      <c r="I61" s="2">
        <f t="shared" si="1"/>
        <v>20.354511031794374</v>
      </c>
      <c r="J61" s="2">
        <f t="shared" si="2"/>
        <v>22.154511482995218</v>
      </c>
      <c r="K61" s="1">
        <f t="shared" si="3"/>
        <v>7.0062965757046417E-23</v>
      </c>
      <c r="L61" s="17">
        <f t="shared" si="4"/>
        <v>1377.2769023057781</v>
      </c>
    </row>
    <row r="62" spans="1:12" x14ac:dyDescent="0.3">
      <c r="A62" s="9">
        <v>79.432900000000004</v>
      </c>
      <c r="B62" s="10" t="s">
        <v>9</v>
      </c>
      <c r="C62" s="5">
        <v>-40</v>
      </c>
      <c r="D62" s="9">
        <v>1384.4</v>
      </c>
      <c r="E62" s="9">
        <v>57.591999999999999</v>
      </c>
      <c r="F62" s="11">
        <v>4.1599999999999998E-2</v>
      </c>
      <c r="G62" s="12">
        <f t="shared" si="0"/>
        <v>1.900000418409981</v>
      </c>
      <c r="H62" s="1">
        <v>2.262096E+20</v>
      </c>
      <c r="I62" s="2">
        <f t="shared" si="1"/>
        <v>20.354511031794374</v>
      </c>
      <c r="J62" s="2">
        <f t="shared" si="2"/>
        <v>22.254511450204355</v>
      </c>
      <c r="K62" s="1">
        <f t="shared" si="3"/>
        <v>5.5652996111352204E-23</v>
      </c>
      <c r="L62" s="17">
        <f t="shared" si="4"/>
        <v>1385.5974157250728</v>
      </c>
    </row>
    <row r="63" spans="1:12" x14ac:dyDescent="0.3">
      <c r="A63" s="9">
        <v>100</v>
      </c>
      <c r="B63" s="10" t="s">
        <v>9</v>
      </c>
      <c r="C63" s="5">
        <v>-40</v>
      </c>
      <c r="D63" s="9">
        <v>1392.2</v>
      </c>
      <c r="E63" s="9">
        <v>57.369</v>
      </c>
      <c r="F63" s="11">
        <v>4.1209999999999997E-2</v>
      </c>
      <c r="G63" s="12">
        <f t="shared" si="0"/>
        <v>2</v>
      </c>
      <c r="H63" s="1">
        <v>2.262096E+20</v>
      </c>
      <c r="I63" s="2">
        <f t="shared" si="1"/>
        <v>20.354511031794374</v>
      </c>
      <c r="J63" s="2">
        <f t="shared" si="2"/>
        <v>22.354511031794374</v>
      </c>
      <c r="K63" s="1">
        <f t="shared" si="3"/>
        <v>4.4206788748134236E-23</v>
      </c>
      <c r="L63" s="17">
        <f t="shared" si="4"/>
        <v>1393.3815134990848</v>
      </c>
    </row>
    <row r="64" spans="1:12" x14ac:dyDescent="0.3">
      <c r="A64" s="4">
        <v>0.1</v>
      </c>
      <c r="B64" s="5" t="s">
        <v>10</v>
      </c>
      <c r="C64" s="5">
        <v>-30</v>
      </c>
      <c r="D64" s="4">
        <v>1020.1</v>
      </c>
      <c r="E64" s="4">
        <v>58.148000000000003</v>
      </c>
      <c r="F64" s="6">
        <v>5.7000000000000002E-2</v>
      </c>
      <c r="G64" s="7">
        <f t="shared" si="0"/>
        <v>-1</v>
      </c>
      <c r="H64" s="1">
        <v>2.052E+18</v>
      </c>
      <c r="I64" s="2">
        <f t="shared" si="1"/>
        <v>18.312177356439779</v>
      </c>
      <c r="J64" s="2">
        <f t="shared" si="2"/>
        <v>17.312177356439779</v>
      </c>
      <c r="K64" s="1">
        <f t="shared" si="3"/>
        <v>4.8732943469785255E-18</v>
      </c>
      <c r="L64" s="17">
        <f t="shared" si="4"/>
        <v>1021.7559395002312</v>
      </c>
    </row>
    <row r="65" spans="1:12" x14ac:dyDescent="0.3">
      <c r="A65" s="4">
        <v>0.12589</v>
      </c>
      <c r="B65" s="5" t="s">
        <v>10</v>
      </c>
      <c r="C65" s="5">
        <v>-30</v>
      </c>
      <c r="D65" s="4">
        <v>1030.5999999999999</v>
      </c>
      <c r="E65" s="4">
        <v>53.448</v>
      </c>
      <c r="F65" s="6">
        <v>5.1860000000000003E-2</v>
      </c>
      <c r="G65" s="7">
        <f t="shared" si="0"/>
        <v>-0.90000876645531558</v>
      </c>
      <c r="H65" s="1">
        <v>2.052E+18</v>
      </c>
      <c r="I65" s="2">
        <f t="shared" si="1"/>
        <v>18.312177356439779</v>
      </c>
      <c r="J65" s="2">
        <f t="shared" si="2"/>
        <v>17.412168589984464</v>
      </c>
      <c r="K65" s="1">
        <f t="shared" si="3"/>
        <v>3.8710734347275633E-18</v>
      </c>
      <c r="L65" s="17">
        <f t="shared" si="4"/>
        <v>1031.9850041081024</v>
      </c>
    </row>
    <row r="66" spans="1:12" x14ac:dyDescent="0.3">
      <c r="A66" s="4">
        <v>0.15848999999999999</v>
      </c>
      <c r="B66" s="5" t="s">
        <v>10</v>
      </c>
      <c r="C66" s="5">
        <v>-30</v>
      </c>
      <c r="D66" s="4">
        <v>1039.9000000000001</v>
      </c>
      <c r="E66" s="4">
        <v>51.601999999999997</v>
      </c>
      <c r="F66" s="6">
        <v>4.9619999999999997E-2</v>
      </c>
      <c r="G66" s="7">
        <f t="shared" si="0"/>
        <v>-0.79999813459339819</v>
      </c>
      <c r="H66" s="1">
        <v>2.052E+18</v>
      </c>
      <c r="I66" s="2">
        <f t="shared" si="1"/>
        <v>18.312177356439779</v>
      </c>
      <c r="J66" s="2">
        <f t="shared" si="2"/>
        <v>17.512179221846381</v>
      </c>
      <c r="K66" s="1">
        <f t="shared" si="3"/>
        <v>3.0748276528352176E-18</v>
      </c>
      <c r="L66" s="17">
        <f t="shared" si="4"/>
        <v>1041.1795120938561</v>
      </c>
    </row>
    <row r="67" spans="1:12" x14ac:dyDescent="0.3">
      <c r="A67" s="4">
        <v>0.19953000000000001</v>
      </c>
      <c r="B67" s="5" t="s">
        <v>10</v>
      </c>
      <c r="C67" s="5">
        <v>-30</v>
      </c>
      <c r="D67" s="4">
        <v>1049.0999999999999</v>
      </c>
      <c r="E67" s="4">
        <v>50.155999999999999</v>
      </c>
      <c r="F67" s="6">
        <v>4.7809999999999998E-2</v>
      </c>
      <c r="G67" s="7">
        <f t="shared" ref="G67:G130" si="5">LOG(A67)</f>
        <v>-0.69999179744618689</v>
      </c>
      <c r="H67" s="1">
        <v>2.052E+18</v>
      </c>
      <c r="I67" s="2">
        <f t="shared" ref="I67:I130" si="6">LOG(H67)</f>
        <v>18.312177356439779</v>
      </c>
      <c r="J67" s="2">
        <f t="shared" ref="J67:J130" si="7">G67+I67</f>
        <v>17.612185558993591</v>
      </c>
      <c r="K67" s="1">
        <f t="shared" ref="K67:K130" si="8">1/10^J67</f>
        <v>2.4423867824279754E-18</v>
      </c>
      <c r="L67" s="17">
        <f t="shared" ref="L67:L130" si="9">SQRT(D67^2+E67^2)</f>
        <v>1050.2982597034045</v>
      </c>
    </row>
    <row r="68" spans="1:12" x14ac:dyDescent="0.3">
      <c r="A68" s="4">
        <v>0.25119000000000002</v>
      </c>
      <c r="B68" s="5" t="s">
        <v>10</v>
      </c>
      <c r="C68" s="5">
        <v>-30</v>
      </c>
      <c r="D68" s="4">
        <v>1057.5</v>
      </c>
      <c r="E68" s="4">
        <v>49.253</v>
      </c>
      <c r="F68" s="6">
        <v>4.6580000000000003E-2</v>
      </c>
      <c r="G68" s="7">
        <f t="shared" si="5"/>
        <v>-0.59999765407204408</v>
      </c>
      <c r="H68" s="1">
        <v>2.052E+18</v>
      </c>
      <c r="I68" s="2">
        <f t="shared" si="6"/>
        <v>18.312177356439779</v>
      </c>
      <c r="J68" s="2">
        <f t="shared" si="7"/>
        <v>17.712179702367735</v>
      </c>
      <c r="K68" s="1">
        <f t="shared" si="8"/>
        <v>1.9400829439780764E-18</v>
      </c>
      <c r="L68" s="17">
        <f t="shared" si="9"/>
        <v>1058.6463564425092</v>
      </c>
    </row>
    <row r="69" spans="1:12" x14ac:dyDescent="0.3">
      <c r="A69" s="4">
        <v>0.31623000000000001</v>
      </c>
      <c r="B69" s="5" t="s">
        <v>10</v>
      </c>
      <c r="C69" s="5">
        <v>-30</v>
      </c>
      <c r="D69" s="4">
        <v>1065.5999999999999</v>
      </c>
      <c r="E69" s="4">
        <v>48.521999999999998</v>
      </c>
      <c r="F69" s="6">
        <v>4.5539999999999997E-2</v>
      </c>
      <c r="G69" s="7">
        <f t="shared" si="5"/>
        <v>-0.4999969319483068</v>
      </c>
      <c r="H69" s="1">
        <v>2.052E+18</v>
      </c>
      <c r="I69" s="2">
        <f t="shared" si="6"/>
        <v>18.312177356439779</v>
      </c>
      <c r="J69" s="2">
        <f t="shared" si="7"/>
        <v>17.812180424491473</v>
      </c>
      <c r="K69" s="1">
        <f t="shared" si="8"/>
        <v>1.541060097706903E-18</v>
      </c>
      <c r="L69" s="17">
        <f t="shared" si="9"/>
        <v>1066.7041504016004</v>
      </c>
    </row>
    <row r="70" spans="1:12" x14ac:dyDescent="0.3">
      <c r="A70" s="4">
        <v>0.39811000000000002</v>
      </c>
      <c r="B70" s="5" t="s">
        <v>10</v>
      </c>
      <c r="C70" s="5">
        <v>-30</v>
      </c>
      <c r="D70" s="4">
        <v>1073.4000000000001</v>
      </c>
      <c r="E70" s="4">
        <v>48.052999999999997</v>
      </c>
      <c r="F70" s="6">
        <v>4.4769999999999997E-2</v>
      </c>
      <c r="G70" s="7">
        <f t="shared" si="5"/>
        <v>-0.39999691337225962</v>
      </c>
      <c r="H70" s="1">
        <v>2.052E+18</v>
      </c>
      <c r="I70" s="2">
        <f t="shared" si="6"/>
        <v>18.312177356439779</v>
      </c>
      <c r="J70" s="2">
        <f t="shared" si="7"/>
        <v>17.91218044306752</v>
      </c>
      <c r="K70" s="1">
        <f t="shared" si="8"/>
        <v>1.2241074946568867E-18</v>
      </c>
      <c r="L70" s="17">
        <f t="shared" si="9"/>
        <v>1074.4750582535642</v>
      </c>
    </row>
    <row r="71" spans="1:12" x14ac:dyDescent="0.3">
      <c r="A71" s="4">
        <v>0.50119000000000002</v>
      </c>
      <c r="B71" s="5" t="s">
        <v>10</v>
      </c>
      <c r="C71" s="5">
        <v>-30</v>
      </c>
      <c r="D71" s="4">
        <v>1080.8</v>
      </c>
      <c r="E71" s="4">
        <v>47.595999999999997</v>
      </c>
      <c r="F71" s="6">
        <v>4.4040000000000003E-2</v>
      </c>
      <c r="G71" s="7">
        <f t="shared" si="5"/>
        <v>-0.29999760285774607</v>
      </c>
      <c r="H71" s="1">
        <v>2.052E+18</v>
      </c>
      <c r="I71" s="2">
        <f t="shared" si="6"/>
        <v>18.312177356439779</v>
      </c>
      <c r="J71" s="2">
        <f t="shared" si="7"/>
        <v>18.012179753582032</v>
      </c>
      <c r="K71" s="1">
        <f t="shared" si="8"/>
        <v>9.7234468903580073E-19</v>
      </c>
      <c r="L71" s="17">
        <f t="shared" si="9"/>
        <v>1081.8475027544316</v>
      </c>
    </row>
    <row r="72" spans="1:12" x14ac:dyDescent="0.3">
      <c r="A72" s="4">
        <v>0.63095999999999997</v>
      </c>
      <c r="B72" s="5" t="s">
        <v>10</v>
      </c>
      <c r="C72" s="5">
        <v>-30</v>
      </c>
      <c r="D72" s="4">
        <v>1088</v>
      </c>
      <c r="E72" s="4">
        <v>47.404000000000003</v>
      </c>
      <c r="F72" s="6">
        <v>4.3569999999999998E-2</v>
      </c>
      <c r="G72" s="7">
        <f t="shared" si="5"/>
        <v>-0.19999817218203128</v>
      </c>
      <c r="H72" s="1">
        <v>2.052E+18</v>
      </c>
      <c r="I72" s="2">
        <f t="shared" si="6"/>
        <v>18.312177356439779</v>
      </c>
      <c r="J72" s="2">
        <f t="shared" si="7"/>
        <v>18.112179184257748</v>
      </c>
      <c r="K72" s="1">
        <f t="shared" si="8"/>
        <v>7.7236185288743E-19</v>
      </c>
      <c r="L72" s="17">
        <f t="shared" si="9"/>
        <v>1089.0322030206453</v>
      </c>
    </row>
    <row r="73" spans="1:12" x14ac:dyDescent="0.3">
      <c r="A73" s="4">
        <v>0.79432999999999998</v>
      </c>
      <c r="B73" s="5" t="s">
        <v>10</v>
      </c>
      <c r="C73" s="5">
        <v>-30</v>
      </c>
      <c r="D73" s="4">
        <v>1095.0999999999999</v>
      </c>
      <c r="E73" s="4">
        <v>47.201999999999998</v>
      </c>
      <c r="F73" s="6">
        <v>4.3099999999999999E-2</v>
      </c>
      <c r="G73" s="7">
        <f t="shared" si="5"/>
        <v>-9.9999034846530471E-2</v>
      </c>
      <c r="H73" s="1">
        <v>2.052E+18</v>
      </c>
      <c r="I73" s="2">
        <f t="shared" si="6"/>
        <v>18.312177356439779</v>
      </c>
      <c r="J73" s="2">
        <f t="shared" si="7"/>
        <v>18.21217832159325</v>
      </c>
      <c r="K73" s="1">
        <f t="shared" si="8"/>
        <v>6.1351004582207872E-19</v>
      </c>
      <c r="L73" s="17">
        <f t="shared" si="9"/>
        <v>1096.1167998000942</v>
      </c>
    </row>
    <row r="74" spans="1:12" x14ac:dyDescent="0.3">
      <c r="A74" s="4">
        <v>1</v>
      </c>
      <c r="B74" s="5" t="s">
        <v>10</v>
      </c>
      <c r="C74" s="5">
        <v>-30</v>
      </c>
      <c r="D74" s="4">
        <v>1102.0999999999999</v>
      </c>
      <c r="E74" s="4">
        <v>47.505000000000003</v>
      </c>
      <c r="F74" s="6">
        <v>4.3099999999999999E-2</v>
      </c>
      <c r="G74" s="7">
        <f t="shared" si="5"/>
        <v>0</v>
      </c>
      <c r="H74" s="1">
        <v>2.052E+18</v>
      </c>
      <c r="I74" s="2">
        <f t="shared" si="6"/>
        <v>18.312177356439779</v>
      </c>
      <c r="J74" s="2">
        <f t="shared" si="7"/>
        <v>18.312177356439779</v>
      </c>
      <c r="K74" s="1">
        <f t="shared" si="8"/>
        <v>4.8732943469785376E-19</v>
      </c>
      <c r="L74" s="17">
        <f t="shared" si="9"/>
        <v>1103.1233544010388</v>
      </c>
    </row>
    <row r="75" spans="1:12" x14ac:dyDescent="0.3">
      <c r="A75" s="4">
        <v>1.2589300000000001</v>
      </c>
      <c r="B75" s="5" t="s">
        <v>10</v>
      </c>
      <c r="C75" s="5">
        <v>-30</v>
      </c>
      <c r="D75" s="4">
        <v>1109</v>
      </c>
      <c r="E75" s="4">
        <v>47.231000000000002</v>
      </c>
      <c r="F75" s="6">
        <v>4.2590000000000003E-2</v>
      </c>
      <c r="G75" s="7">
        <f t="shared" si="5"/>
        <v>0.10000158280135207</v>
      </c>
      <c r="H75" s="1">
        <v>2.052E+18</v>
      </c>
      <c r="I75" s="2">
        <f t="shared" si="6"/>
        <v>18.312177356439779</v>
      </c>
      <c r="J75" s="2">
        <f t="shared" si="7"/>
        <v>18.41217893924113</v>
      </c>
      <c r="K75" s="1">
        <f t="shared" si="8"/>
        <v>3.8709811879759268E-19</v>
      </c>
      <c r="L75" s="17">
        <f t="shared" si="9"/>
        <v>1110.0053006004071</v>
      </c>
    </row>
    <row r="76" spans="1:12" x14ac:dyDescent="0.3">
      <c r="A76" s="4">
        <v>1.5848899999999999</v>
      </c>
      <c r="B76" s="5" t="s">
        <v>10</v>
      </c>
      <c r="C76" s="5">
        <v>-30</v>
      </c>
      <c r="D76" s="4">
        <v>1115.4000000000001</v>
      </c>
      <c r="E76" s="4">
        <v>47.408999999999999</v>
      </c>
      <c r="F76" s="6">
        <v>4.2500000000000003E-2</v>
      </c>
      <c r="G76" s="7">
        <f t="shared" si="5"/>
        <v>0.19999912519679666</v>
      </c>
      <c r="H76" s="1">
        <v>2.052E+18</v>
      </c>
      <c r="I76" s="2">
        <f t="shared" si="6"/>
        <v>18.312177356439779</v>
      </c>
      <c r="J76" s="2">
        <f t="shared" si="7"/>
        <v>18.512176481636576</v>
      </c>
      <c r="K76" s="1">
        <f t="shared" si="8"/>
        <v>3.0748470537251993E-19</v>
      </c>
      <c r="L76" s="17">
        <f t="shared" si="9"/>
        <v>1116.4070822424051</v>
      </c>
    </row>
    <row r="77" spans="1:12" x14ac:dyDescent="0.3">
      <c r="A77" s="4">
        <v>1.99526</v>
      </c>
      <c r="B77" s="5" t="s">
        <v>10</v>
      </c>
      <c r="C77" s="5">
        <v>-30</v>
      </c>
      <c r="D77" s="4">
        <v>1122.0999999999999</v>
      </c>
      <c r="E77" s="4">
        <v>47.588999999999999</v>
      </c>
      <c r="F77" s="6">
        <v>4.2410000000000003E-2</v>
      </c>
      <c r="G77" s="7">
        <f t="shared" si="5"/>
        <v>0.29999949611698379</v>
      </c>
      <c r="H77" s="1">
        <v>2.052E+18</v>
      </c>
      <c r="I77" s="2">
        <f t="shared" si="6"/>
        <v>18.312177356439779</v>
      </c>
      <c r="J77" s="2">
        <f t="shared" si="7"/>
        <v>18.612176852556765</v>
      </c>
      <c r="K77" s="1">
        <f t="shared" si="8"/>
        <v>2.4424357462077745E-19</v>
      </c>
      <c r="L77" s="17">
        <f t="shared" si="9"/>
        <v>1123.1086870472509</v>
      </c>
    </row>
    <row r="78" spans="1:12" x14ac:dyDescent="0.3">
      <c r="A78" s="4">
        <v>2.5118900000000002</v>
      </c>
      <c r="B78" s="5" t="s">
        <v>10</v>
      </c>
      <c r="C78" s="5">
        <v>-30</v>
      </c>
      <c r="D78" s="4">
        <v>1128.5</v>
      </c>
      <c r="E78" s="4">
        <v>47.151000000000003</v>
      </c>
      <c r="F78" s="6">
        <v>4.1779999999999998E-2</v>
      </c>
      <c r="G78" s="7">
        <f t="shared" si="5"/>
        <v>0.40000061697637995</v>
      </c>
      <c r="H78" s="1">
        <v>2.052E+18</v>
      </c>
      <c r="I78" s="2">
        <f t="shared" si="6"/>
        <v>18.312177356439779</v>
      </c>
      <c r="J78" s="2">
        <f t="shared" si="7"/>
        <v>18.712177973416161</v>
      </c>
      <c r="K78" s="1">
        <f t="shared" si="8"/>
        <v>1.9400906675764153E-19</v>
      </c>
      <c r="L78" s="17">
        <f t="shared" si="9"/>
        <v>1129.4846022859276</v>
      </c>
    </row>
    <row r="79" spans="1:12" x14ac:dyDescent="0.3">
      <c r="A79" s="4">
        <v>3.16228</v>
      </c>
      <c r="B79" s="5" t="s">
        <v>10</v>
      </c>
      <c r="C79" s="5">
        <v>-30</v>
      </c>
      <c r="D79" s="4">
        <v>1135.4000000000001</v>
      </c>
      <c r="E79" s="4">
        <v>47.241999999999997</v>
      </c>
      <c r="F79" s="6">
        <v>4.1610000000000001E-2</v>
      </c>
      <c r="G79" s="7">
        <f t="shared" si="5"/>
        <v>0.50000032134293526</v>
      </c>
      <c r="H79" s="1">
        <v>2.052E+18</v>
      </c>
      <c r="I79" s="2">
        <f t="shared" si="6"/>
        <v>18.312177356439779</v>
      </c>
      <c r="J79" s="2">
        <f t="shared" si="7"/>
        <v>18.812177677782714</v>
      </c>
      <c r="K79" s="1">
        <f t="shared" si="8"/>
        <v>1.5410698442195306E-19</v>
      </c>
      <c r="L79" s="17">
        <f t="shared" si="9"/>
        <v>1136.3824033150108</v>
      </c>
    </row>
    <row r="80" spans="1:12" x14ac:dyDescent="0.3">
      <c r="A80" s="4">
        <v>3.9810699999999999</v>
      </c>
      <c r="B80" s="5" t="s">
        <v>10</v>
      </c>
      <c r="C80" s="5">
        <v>-30</v>
      </c>
      <c r="D80" s="4">
        <v>1142</v>
      </c>
      <c r="E80" s="4">
        <v>47.334000000000003</v>
      </c>
      <c r="F80" s="6">
        <v>4.1450000000000001E-2</v>
      </c>
      <c r="G80" s="7">
        <f t="shared" si="5"/>
        <v>0.59999981394342006</v>
      </c>
      <c r="H80" s="1">
        <v>2.052E+18</v>
      </c>
      <c r="I80" s="2">
        <f t="shared" si="6"/>
        <v>18.312177356439779</v>
      </c>
      <c r="J80" s="2">
        <f t="shared" si="7"/>
        <v>18.912177170383199</v>
      </c>
      <c r="K80" s="1">
        <f t="shared" si="8"/>
        <v>1.224116719117856E-19</v>
      </c>
      <c r="L80" s="17">
        <f t="shared" si="9"/>
        <v>1142.9805368229154</v>
      </c>
    </row>
    <row r="81" spans="1:12" x14ac:dyDescent="0.3">
      <c r="A81" s="4">
        <v>5.01187</v>
      </c>
      <c r="B81" s="5" t="s">
        <v>10</v>
      </c>
      <c r="C81" s="5">
        <v>-30</v>
      </c>
      <c r="D81" s="4">
        <v>1148.7</v>
      </c>
      <c r="E81" s="4">
        <v>47.706000000000003</v>
      </c>
      <c r="F81" s="6">
        <v>4.1529999999999997E-2</v>
      </c>
      <c r="G81" s="7">
        <f t="shared" si="5"/>
        <v>0.69999979755458241</v>
      </c>
      <c r="H81" s="1">
        <v>2.052E+18</v>
      </c>
      <c r="I81" s="2">
        <f t="shared" si="6"/>
        <v>18.312177356439779</v>
      </c>
      <c r="J81" s="2">
        <f t="shared" si="7"/>
        <v>19.012177153994362</v>
      </c>
      <c r="K81" s="1">
        <f t="shared" si="8"/>
        <v>9.7235050928666263E-20</v>
      </c>
      <c r="L81" s="17">
        <f t="shared" si="9"/>
        <v>1149.6901984604376</v>
      </c>
    </row>
    <row r="82" spans="1:12" x14ac:dyDescent="0.3">
      <c r="A82" s="4">
        <v>6.3095800000000004</v>
      </c>
      <c r="B82" s="5" t="s">
        <v>10</v>
      </c>
      <c r="C82" s="5">
        <v>-30</v>
      </c>
      <c r="D82" s="4">
        <v>1155.5999999999999</v>
      </c>
      <c r="E82" s="4">
        <v>48.122</v>
      </c>
      <c r="F82" s="6">
        <v>4.1640000000000003E-2</v>
      </c>
      <c r="G82" s="7">
        <f t="shared" si="5"/>
        <v>0.80000045120084495</v>
      </c>
      <c r="H82" s="1">
        <v>2.052E+18</v>
      </c>
      <c r="I82" s="2">
        <f t="shared" si="6"/>
        <v>18.312177356439779</v>
      </c>
      <c r="J82" s="2">
        <f t="shared" si="7"/>
        <v>19.112177807640624</v>
      </c>
      <c r="K82" s="1">
        <f t="shared" si="8"/>
        <v>7.7236430110697423E-20</v>
      </c>
      <c r="L82" s="17">
        <f t="shared" si="9"/>
        <v>1156.601524676498</v>
      </c>
    </row>
    <row r="83" spans="1:12" x14ac:dyDescent="0.3">
      <c r="A83" s="4">
        <v>7.9432900000000002</v>
      </c>
      <c r="B83" s="5" t="s">
        <v>10</v>
      </c>
      <c r="C83" s="5">
        <v>-30</v>
      </c>
      <c r="D83" s="4">
        <v>1162</v>
      </c>
      <c r="E83" s="4">
        <v>48.375</v>
      </c>
      <c r="F83" s="6">
        <v>4.163E-2</v>
      </c>
      <c r="G83" s="7">
        <f t="shared" si="5"/>
        <v>0.90000041840998102</v>
      </c>
      <c r="H83" s="1">
        <v>2.052E+18</v>
      </c>
      <c r="I83" s="2">
        <f t="shared" si="6"/>
        <v>18.312177356439779</v>
      </c>
      <c r="J83" s="2">
        <f t="shared" si="7"/>
        <v>19.21217777484976</v>
      </c>
      <c r="K83" s="1">
        <f t="shared" si="8"/>
        <v>6.1351081818472198E-20</v>
      </c>
      <c r="L83" s="17">
        <f t="shared" si="9"/>
        <v>1163.0065092788604</v>
      </c>
    </row>
    <row r="84" spans="1:12" x14ac:dyDescent="0.3">
      <c r="A84" s="4">
        <v>10</v>
      </c>
      <c r="B84" s="5" t="s">
        <v>10</v>
      </c>
      <c r="C84" s="5">
        <v>-30</v>
      </c>
      <c r="D84" s="4">
        <v>1169</v>
      </c>
      <c r="E84" s="4">
        <v>48.875</v>
      </c>
      <c r="F84" s="6">
        <v>4.181E-2</v>
      </c>
      <c r="G84" s="7">
        <f t="shared" si="5"/>
        <v>1</v>
      </c>
      <c r="H84" s="1">
        <v>2.052E+18</v>
      </c>
      <c r="I84" s="2">
        <f t="shared" si="6"/>
        <v>18.312177356439779</v>
      </c>
      <c r="J84" s="2">
        <f t="shared" si="7"/>
        <v>19.312177356439779</v>
      </c>
      <c r="K84" s="1">
        <f t="shared" si="8"/>
        <v>4.8732943469785145E-20</v>
      </c>
      <c r="L84" s="17">
        <f t="shared" si="9"/>
        <v>1170.0212671678237</v>
      </c>
    </row>
    <row r="85" spans="1:12" x14ac:dyDescent="0.3">
      <c r="A85" s="4">
        <v>12.5893</v>
      </c>
      <c r="B85" s="5" t="s">
        <v>10</v>
      </c>
      <c r="C85" s="5">
        <v>-30</v>
      </c>
      <c r="D85" s="4">
        <v>1176.2</v>
      </c>
      <c r="E85" s="4">
        <v>49.49</v>
      </c>
      <c r="F85" s="6">
        <v>4.2079999999999999E-2</v>
      </c>
      <c r="G85" s="7">
        <f t="shared" si="5"/>
        <v>1.1000015828013521</v>
      </c>
      <c r="H85" s="1">
        <v>2.052E+18</v>
      </c>
      <c r="I85" s="2">
        <f t="shared" si="6"/>
        <v>18.312177356439779</v>
      </c>
      <c r="J85" s="2">
        <f t="shared" si="7"/>
        <v>19.41217893924113</v>
      </c>
      <c r="K85" s="1">
        <f t="shared" si="8"/>
        <v>3.8709811879759362E-20</v>
      </c>
      <c r="L85" s="17">
        <f t="shared" si="9"/>
        <v>1177.240714594938</v>
      </c>
    </row>
    <row r="86" spans="1:12" x14ac:dyDescent="0.3">
      <c r="A86" s="4">
        <v>15.8489</v>
      </c>
      <c r="B86" s="5" t="s">
        <v>10</v>
      </c>
      <c r="C86" s="5">
        <v>-30</v>
      </c>
      <c r="D86" s="4">
        <v>1183.2</v>
      </c>
      <c r="E86" s="4">
        <v>49.889000000000003</v>
      </c>
      <c r="F86" s="6">
        <v>4.2160000000000003E-2</v>
      </c>
      <c r="G86" s="7">
        <f t="shared" si="5"/>
        <v>1.1999991251967967</v>
      </c>
      <c r="H86" s="1">
        <v>2.052E+18</v>
      </c>
      <c r="I86" s="2">
        <f t="shared" si="6"/>
        <v>18.312177356439779</v>
      </c>
      <c r="J86" s="2">
        <f t="shared" si="7"/>
        <v>19.512176481636576</v>
      </c>
      <c r="K86" s="1">
        <f t="shared" si="8"/>
        <v>3.074847053725207E-20</v>
      </c>
      <c r="L86" s="17">
        <f t="shared" si="9"/>
        <v>1184.2513045468854</v>
      </c>
    </row>
    <row r="87" spans="1:12" x14ac:dyDescent="0.3">
      <c r="A87" s="4">
        <v>19.9526</v>
      </c>
      <c r="B87" s="5" t="s">
        <v>10</v>
      </c>
      <c r="C87" s="5">
        <v>-30</v>
      </c>
      <c r="D87" s="4">
        <v>1190.2</v>
      </c>
      <c r="E87" s="4">
        <v>50.743000000000002</v>
      </c>
      <c r="F87" s="6">
        <v>4.2639999999999997E-2</v>
      </c>
      <c r="G87" s="7">
        <f t="shared" si="5"/>
        <v>1.2999994961169838</v>
      </c>
      <c r="H87" s="1">
        <v>2.052E+18</v>
      </c>
      <c r="I87" s="2">
        <f t="shared" si="6"/>
        <v>18.312177356439779</v>
      </c>
      <c r="J87" s="2">
        <f t="shared" si="7"/>
        <v>19.612176852556765</v>
      </c>
      <c r="K87" s="1">
        <f t="shared" si="8"/>
        <v>2.4424357462077634E-20</v>
      </c>
      <c r="L87" s="17">
        <f t="shared" si="9"/>
        <v>1191.2811977232748</v>
      </c>
    </row>
    <row r="88" spans="1:12" x14ac:dyDescent="0.3">
      <c r="A88" s="4">
        <v>25.1189</v>
      </c>
      <c r="B88" s="5" t="s">
        <v>10</v>
      </c>
      <c r="C88" s="5">
        <v>-30</v>
      </c>
      <c r="D88" s="4">
        <v>1197.5999999999999</v>
      </c>
      <c r="E88" s="4">
        <v>51.314</v>
      </c>
      <c r="F88" s="6">
        <v>4.2849999999999999E-2</v>
      </c>
      <c r="G88" s="7">
        <f t="shared" si="5"/>
        <v>1.4000006169763799</v>
      </c>
      <c r="H88" s="1">
        <v>2.052E+18</v>
      </c>
      <c r="I88" s="2">
        <f t="shared" si="6"/>
        <v>18.312177356439779</v>
      </c>
      <c r="J88" s="2">
        <f t="shared" si="7"/>
        <v>19.712177973416161</v>
      </c>
      <c r="K88" s="1">
        <f t="shared" si="8"/>
        <v>1.9400906675764063E-20</v>
      </c>
      <c r="L88" s="17">
        <f t="shared" si="9"/>
        <v>1198.6988306476319</v>
      </c>
    </row>
    <row r="89" spans="1:12" x14ac:dyDescent="0.3">
      <c r="A89" s="4">
        <v>31.622800000000002</v>
      </c>
      <c r="B89" s="5" t="s">
        <v>10</v>
      </c>
      <c r="C89" s="5">
        <v>-30</v>
      </c>
      <c r="D89" s="4">
        <v>1204.9000000000001</v>
      </c>
      <c r="E89" s="4">
        <v>52.301000000000002</v>
      </c>
      <c r="F89" s="6">
        <v>4.3409999999999997E-2</v>
      </c>
      <c r="G89" s="7">
        <f t="shared" si="5"/>
        <v>1.5000003213429354</v>
      </c>
      <c r="H89" s="1">
        <v>2.052E+18</v>
      </c>
      <c r="I89" s="2">
        <f t="shared" si="6"/>
        <v>18.312177356439779</v>
      </c>
      <c r="J89" s="2">
        <f t="shared" si="7"/>
        <v>19.812177677782714</v>
      </c>
      <c r="K89" s="1">
        <f t="shared" si="8"/>
        <v>1.5410698442195345E-20</v>
      </c>
      <c r="L89" s="17">
        <f t="shared" si="9"/>
        <v>1206.0345785262546</v>
      </c>
    </row>
    <row r="90" spans="1:12" x14ac:dyDescent="0.3">
      <c r="A90" s="4">
        <v>39.810699999999997</v>
      </c>
      <c r="B90" s="5" t="s">
        <v>10</v>
      </c>
      <c r="C90" s="5">
        <v>-30</v>
      </c>
      <c r="D90" s="4">
        <v>1211.8</v>
      </c>
      <c r="E90" s="4">
        <v>53.168999999999997</v>
      </c>
      <c r="F90" s="6">
        <v>4.3869999999999999E-2</v>
      </c>
      <c r="G90" s="7">
        <f t="shared" si="5"/>
        <v>1.5999998139434199</v>
      </c>
      <c r="H90" s="1">
        <v>2.052E+18</v>
      </c>
      <c r="I90" s="2">
        <f t="shared" si="6"/>
        <v>18.312177356439779</v>
      </c>
      <c r="J90" s="2">
        <f t="shared" si="7"/>
        <v>19.912177170383199</v>
      </c>
      <c r="K90" s="1">
        <f t="shared" si="8"/>
        <v>1.2241167191178589E-20</v>
      </c>
      <c r="L90" s="17">
        <f t="shared" si="9"/>
        <v>1212.9658620756809</v>
      </c>
    </row>
    <row r="91" spans="1:12" x14ac:dyDescent="0.3">
      <c r="A91" s="4">
        <v>50.1188</v>
      </c>
      <c r="B91" s="5" t="s">
        <v>10</v>
      </c>
      <c r="C91" s="5">
        <v>-30</v>
      </c>
      <c r="D91" s="4">
        <v>1219.2</v>
      </c>
      <c r="E91" s="4">
        <v>53.883000000000003</v>
      </c>
      <c r="F91" s="6">
        <v>4.419E-2</v>
      </c>
      <c r="G91" s="7">
        <f t="shared" si="5"/>
        <v>1.7000006640855352</v>
      </c>
      <c r="H91" s="1">
        <v>2.052E+18</v>
      </c>
      <c r="I91" s="2">
        <f t="shared" si="6"/>
        <v>18.312177356439779</v>
      </c>
      <c r="J91" s="2">
        <f t="shared" si="7"/>
        <v>20.012178020525315</v>
      </c>
      <c r="K91" s="1">
        <f t="shared" si="8"/>
        <v>9.7234856919529367E-21</v>
      </c>
      <c r="L91" s="17">
        <f t="shared" si="9"/>
        <v>1220.3901088131615</v>
      </c>
    </row>
    <row r="92" spans="1:12" x14ac:dyDescent="0.3">
      <c r="A92" s="4">
        <v>63.095799999999997</v>
      </c>
      <c r="B92" s="5" t="s">
        <v>10</v>
      </c>
      <c r="C92" s="5">
        <v>-30</v>
      </c>
      <c r="D92" s="4">
        <v>1226.8</v>
      </c>
      <c r="E92" s="4">
        <v>54.817999999999998</v>
      </c>
      <c r="F92" s="6">
        <v>4.4690000000000001E-2</v>
      </c>
      <c r="G92" s="7">
        <f t="shared" si="5"/>
        <v>1.800000451200845</v>
      </c>
      <c r="H92" s="1">
        <v>2.052E+18</v>
      </c>
      <c r="I92" s="2">
        <f t="shared" si="6"/>
        <v>18.312177356439779</v>
      </c>
      <c r="J92" s="2">
        <f t="shared" si="7"/>
        <v>20.112177807640624</v>
      </c>
      <c r="K92" s="1">
        <f t="shared" si="8"/>
        <v>7.7236430110697074E-21</v>
      </c>
      <c r="L92" s="17">
        <f t="shared" si="9"/>
        <v>1228.0241256278314</v>
      </c>
    </row>
    <row r="93" spans="1:12" x14ac:dyDescent="0.3">
      <c r="A93" s="4">
        <v>79.432900000000004</v>
      </c>
      <c r="B93" s="5" t="s">
        <v>10</v>
      </c>
      <c r="C93" s="5">
        <v>-30</v>
      </c>
      <c r="D93" s="4">
        <v>1233.9000000000001</v>
      </c>
      <c r="E93" s="4">
        <v>55.448</v>
      </c>
      <c r="F93" s="6">
        <v>4.4940000000000001E-2</v>
      </c>
      <c r="G93" s="7">
        <f t="shared" si="5"/>
        <v>1.900000418409981</v>
      </c>
      <c r="H93" s="1">
        <v>2.052E+18</v>
      </c>
      <c r="I93" s="2">
        <f t="shared" si="6"/>
        <v>18.312177356439779</v>
      </c>
      <c r="J93" s="2">
        <f t="shared" si="7"/>
        <v>20.21217777484976</v>
      </c>
      <c r="K93" s="1">
        <f t="shared" si="8"/>
        <v>6.1351081818472347E-21</v>
      </c>
      <c r="L93" s="17">
        <f t="shared" si="9"/>
        <v>1235.145210371639</v>
      </c>
    </row>
    <row r="94" spans="1:12" x14ac:dyDescent="0.3">
      <c r="A94" s="4">
        <v>100</v>
      </c>
      <c r="B94" s="5" t="s">
        <v>10</v>
      </c>
      <c r="C94" s="5">
        <v>-30</v>
      </c>
      <c r="D94" s="4">
        <v>1241.2</v>
      </c>
      <c r="E94" s="4">
        <v>56.095999999999997</v>
      </c>
      <c r="F94" s="6">
        <v>4.5190000000000001E-2</v>
      </c>
      <c r="G94" s="7">
        <f t="shared" si="5"/>
        <v>2</v>
      </c>
      <c r="H94" s="1">
        <v>2.052E+18</v>
      </c>
      <c r="I94" s="2">
        <f t="shared" si="6"/>
        <v>18.312177356439779</v>
      </c>
      <c r="J94" s="2">
        <f t="shared" si="7"/>
        <v>20.312177356439779</v>
      </c>
      <c r="K94" s="1">
        <f t="shared" si="8"/>
        <v>4.8732943469785264E-21</v>
      </c>
      <c r="L94" s="17">
        <f t="shared" si="9"/>
        <v>1242.4669819419751</v>
      </c>
    </row>
    <row r="95" spans="1:12" x14ac:dyDescent="0.3">
      <c r="A95" s="9">
        <v>0.1</v>
      </c>
      <c r="B95" s="10" t="s">
        <v>11</v>
      </c>
      <c r="C95" s="5">
        <v>-20</v>
      </c>
      <c r="D95" s="9">
        <v>908.78</v>
      </c>
      <c r="E95" s="9">
        <v>56.933</v>
      </c>
      <c r="F95" s="11">
        <v>6.2649999999999997E-2</v>
      </c>
      <c r="G95" s="12">
        <f t="shared" si="5"/>
        <v>-1</v>
      </c>
      <c r="H95" s="1">
        <v>2.705472E+16</v>
      </c>
      <c r="I95" s="2">
        <f t="shared" si="6"/>
        <v>16.432243043606462</v>
      </c>
      <c r="J95" s="2">
        <f t="shared" si="7"/>
        <v>15.432243043606462</v>
      </c>
      <c r="K95" s="1">
        <f t="shared" si="8"/>
        <v>3.6962127126061363E-16</v>
      </c>
      <c r="L95" s="17">
        <f t="shared" si="9"/>
        <v>910.56161509751769</v>
      </c>
    </row>
    <row r="96" spans="1:12" x14ac:dyDescent="0.3">
      <c r="A96" s="9">
        <v>0.12589</v>
      </c>
      <c r="B96" s="10" t="s">
        <v>11</v>
      </c>
      <c r="C96" s="5">
        <v>-20</v>
      </c>
      <c r="D96" s="9">
        <v>919.42</v>
      </c>
      <c r="E96" s="9">
        <v>51.82</v>
      </c>
      <c r="F96" s="11">
        <v>5.636E-2</v>
      </c>
      <c r="G96" s="12">
        <f t="shared" si="5"/>
        <v>-0.90000876645531558</v>
      </c>
      <c r="H96" s="1">
        <v>2.705472E+16</v>
      </c>
      <c r="I96" s="2">
        <f t="shared" si="6"/>
        <v>16.432243043606462</v>
      </c>
      <c r="J96" s="2">
        <f t="shared" si="7"/>
        <v>15.532234277151147</v>
      </c>
      <c r="K96" s="1">
        <f t="shared" si="8"/>
        <v>2.9360653845469375E-16</v>
      </c>
      <c r="L96" s="17">
        <f t="shared" si="9"/>
        <v>920.87917166151612</v>
      </c>
    </row>
    <row r="97" spans="1:12" x14ac:dyDescent="0.3">
      <c r="A97" s="9">
        <v>0.15848999999999999</v>
      </c>
      <c r="B97" s="10" t="s">
        <v>11</v>
      </c>
      <c r="C97" s="5">
        <v>-20</v>
      </c>
      <c r="D97" s="9">
        <v>928.91</v>
      </c>
      <c r="E97" s="9">
        <v>49.881</v>
      </c>
      <c r="F97" s="11">
        <v>5.3699999999999998E-2</v>
      </c>
      <c r="G97" s="12">
        <f t="shared" si="5"/>
        <v>-0.79999813459339819</v>
      </c>
      <c r="H97" s="1">
        <v>2.705472E+16</v>
      </c>
      <c r="I97" s="2">
        <f t="shared" si="6"/>
        <v>16.432243043606462</v>
      </c>
      <c r="J97" s="2">
        <f t="shared" si="7"/>
        <v>15.632244909013064</v>
      </c>
      <c r="K97" s="1">
        <f t="shared" si="8"/>
        <v>2.3321425406058072E-16</v>
      </c>
      <c r="L97" s="17">
        <f t="shared" si="9"/>
        <v>930.24830140183531</v>
      </c>
    </row>
    <row r="98" spans="1:12" x14ac:dyDescent="0.3">
      <c r="A98" s="9">
        <v>0.19953000000000001</v>
      </c>
      <c r="B98" s="10" t="s">
        <v>11</v>
      </c>
      <c r="C98" s="5">
        <v>-20</v>
      </c>
      <c r="D98" s="9">
        <v>937.37</v>
      </c>
      <c r="E98" s="9">
        <v>48.545000000000002</v>
      </c>
      <c r="F98" s="11">
        <v>5.1790000000000003E-2</v>
      </c>
      <c r="G98" s="12">
        <f t="shared" si="5"/>
        <v>-0.69999179744618689</v>
      </c>
      <c r="H98" s="1">
        <v>2.705472E+16</v>
      </c>
      <c r="I98" s="2">
        <f t="shared" si="6"/>
        <v>16.432243043606462</v>
      </c>
      <c r="J98" s="2">
        <f t="shared" si="7"/>
        <v>15.732251246160276</v>
      </c>
      <c r="K98" s="1">
        <f t="shared" si="8"/>
        <v>1.8524596364487146E-16</v>
      </c>
      <c r="L98" s="17">
        <f t="shared" si="9"/>
        <v>938.62619499191476</v>
      </c>
    </row>
    <row r="99" spans="1:12" x14ac:dyDescent="0.3">
      <c r="A99" s="9">
        <v>0.25119000000000002</v>
      </c>
      <c r="B99" s="10" t="s">
        <v>11</v>
      </c>
      <c r="C99" s="5">
        <v>-20</v>
      </c>
      <c r="D99" s="9">
        <v>945.64</v>
      </c>
      <c r="E99" s="9">
        <v>47.526000000000003</v>
      </c>
      <c r="F99" s="11">
        <v>5.0259999999999999E-2</v>
      </c>
      <c r="G99" s="12">
        <f t="shared" si="5"/>
        <v>-0.59999765407204408</v>
      </c>
      <c r="H99" s="1">
        <v>2.705472E+16</v>
      </c>
      <c r="I99" s="2">
        <f t="shared" si="6"/>
        <v>16.432243043606462</v>
      </c>
      <c r="J99" s="2">
        <f t="shared" si="7"/>
        <v>15.832245389534418</v>
      </c>
      <c r="K99" s="1">
        <f t="shared" si="8"/>
        <v>1.4714808362618494E-16</v>
      </c>
      <c r="L99" s="17">
        <f t="shared" si="9"/>
        <v>946.83352828044701</v>
      </c>
    </row>
    <row r="100" spans="1:12" x14ac:dyDescent="0.3">
      <c r="A100" s="9">
        <v>0.31623000000000001</v>
      </c>
      <c r="B100" s="10" t="s">
        <v>11</v>
      </c>
      <c r="C100" s="5">
        <v>-20</v>
      </c>
      <c r="D100" s="9">
        <v>953.08</v>
      </c>
      <c r="E100" s="9">
        <v>46.661000000000001</v>
      </c>
      <c r="F100" s="11">
        <v>4.8959999999999997E-2</v>
      </c>
      <c r="G100" s="12">
        <f t="shared" si="5"/>
        <v>-0.4999969319483068</v>
      </c>
      <c r="H100" s="1">
        <v>2.705472E+16</v>
      </c>
      <c r="I100" s="2">
        <f t="shared" si="6"/>
        <v>16.432243043606462</v>
      </c>
      <c r="J100" s="2">
        <f t="shared" si="7"/>
        <v>15.932246111658156</v>
      </c>
      <c r="K100" s="1">
        <f t="shared" si="8"/>
        <v>1.1688368316118396E-16</v>
      </c>
      <c r="L100" s="17">
        <f t="shared" si="9"/>
        <v>954.22153367077192</v>
      </c>
    </row>
    <row r="101" spans="1:12" x14ac:dyDescent="0.3">
      <c r="A101" s="9">
        <v>0.39811000000000002</v>
      </c>
      <c r="B101" s="10" t="s">
        <v>11</v>
      </c>
      <c r="C101" s="5">
        <v>-20</v>
      </c>
      <c r="D101" s="9">
        <v>960.55</v>
      </c>
      <c r="E101" s="9">
        <v>46.2</v>
      </c>
      <c r="F101" s="11">
        <v>4.8099999999999997E-2</v>
      </c>
      <c r="G101" s="12">
        <f t="shared" si="5"/>
        <v>-0.39999691337225962</v>
      </c>
      <c r="H101" s="1">
        <v>2.705472E+16</v>
      </c>
      <c r="I101" s="2">
        <f t="shared" si="6"/>
        <v>16.432243043606462</v>
      </c>
      <c r="J101" s="2">
        <f t="shared" si="7"/>
        <v>16.032246130234203</v>
      </c>
      <c r="K101" s="1">
        <f t="shared" si="8"/>
        <v>9.284400574228582E-17</v>
      </c>
      <c r="L101" s="17">
        <f t="shared" si="9"/>
        <v>961.66040913619804</v>
      </c>
    </row>
    <row r="102" spans="1:12" x14ac:dyDescent="0.3">
      <c r="A102" s="9">
        <v>0.50119000000000002</v>
      </c>
      <c r="B102" s="10" t="s">
        <v>11</v>
      </c>
      <c r="C102" s="5">
        <v>-20</v>
      </c>
      <c r="D102" s="9">
        <v>967.68</v>
      </c>
      <c r="E102" s="9">
        <v>45.597000000000001</v>
      </c>
      <c r="F102" s="11">
        <v>4.7120000000000002E-2</v>
      </c>
      <c r="G102" s="12">
        <f t="shared" si="5"/>
        <v>-0.29999760285774607</v>
      </c>
      <c r="H102" s="1">
        <v>2.705472E+16</v>
      </c>
      <c r="I102" s="2">
        <f t="shared" si="6"/>
        <v>16.432243043606462</v>
      </c>
      <c r="J102" s="2">
        <f t="shared" si="7"/>
        <v>16.132245440748715</v>
      </c>
      <c r="K102" s="1">
        <f t="shared" si="8"/>
        <v>7.3748732269321796E-17</v>
      </c>
      <c r="L102" s="17">
        <f t="shared" si="9"/>
        <v>968.75366776544388</v>
      </c>
    </row>
    <row r="103" spans="1:12" x14ac:dyDescent="0.3">
      <c r="A103" s="9">
        <v>0.63095999999999997</v>
      </c>
      <c r="B103" s="10" t="s">
        <v>11</v>
      </c>
      <c r="C103" s="5">
        <v>-20</v>
      </c>
      <c r="D103" s="9">
        <v>974.22</v>
      </c>
      <c r="E103" s="9">
        <v>44.771000000000001</v>
      </c>
      <c r="F103" s="11">
        <v>4.5960000000000001E-2</v>
      </c>
      <c r="G103" s="12">
        <f t="shared" si="5"/>
        <v>-0.19999817218203128</v>
      </c>
      <c r="H103" s="1">
        <v>2.705472E+16</v>
      </c>
      <c r="I103" s="2">
        <f t="shared" si="6"/>
        <v>16.432243043606462</v>
      </c>
      <c r="J103" s="2">
        <f t="shared" si="7"/>
        <v>16.232244871424431</v>
      </c>
      <c r="K103" s="1">
        <f t="shared" si="8"/>
        <v>5.8580777111166136E-17</v>
      </c>
      <c r="L103" s="17">
        <f t="shared" si="9"/>
        <v>975.24819960920718</v>
      </c>
    </row>
    <row r="104" spans="1:12" x14ac:dyDescent="0.3">
      <c r="A104" s="9">
        <v>0.79432999999999998</v>
      </c>
      <c r="B104" s="10" t="s">
        <v>11</v>
      </c>
      <c r="C104" s="5">
        <v>-20</v>
      </c>
      <c r="D104" s="9">
        <v>980.85</v>
      </c>
      <c r="E104" s="9">
        <v>44.432000000000002</v>
      </c>
      <c r="F104" s="11">
        <v>4.53E-2</v>
      </c>
      <c r="G104" s="12">
        <f t="shared" si="5"/>
        <v>-9.9999034846530471E-2</v>
      </c>
      <c r="H104" s="1">
        <v>2.705472E+16</v>
      </c>
      <c r="I104" s="2">
        <f t="shared" si="6"/>
        <v>16.432243043606462</v>
      </c>
      <c r="J104" s="2">
        <f t="shared" si="7"/>
        <v>16.332244008759933</v>
      </c>
      <c r="K104" s="1">
        <f t="shared" si="8"/>
        <v>4.6532457701536258E-17</v>
      </c>
      <c r="L104" s="17">
        <f t="shared" si="9"/>
        <v>981.85585761047435</v>
      </c>
    </row>
    <row r="105" spans="1:12" x14ac:dyDescent="0.3">
      <c r="A105" s="9">
        <v>1</v>
      </c>
      <c r="B105" s="10" t="s">
        <v>11</v>
      </c>
      <c r="C105" s="5">
        <v>-20</v>
      </c>
      <c r="D105" s="9">
        <v>987.62</v>
      </c>
      <c r="E105" s="9">
        <v>44.177999999999997</v>
      </c>
      <c r="F105" s="11">
        <v>4.4729999999999999E-2</v>
      </c>
      <c r="G105" s="12">
        <f t="shared" si="5"/>
        <v>0</v>
      </c>
      <c r="H105" s="1">
        <v>2.705472E+16</v>
      </c>
      <c r="I105" s="2">
        <f t="shared" si="6"/>
        <v>16.432243043606462</v>
      </c>
      <c r="J105" s="2">
        <f t="shared" si="7"/>
        <v>16.432243043606462</v>
      </c>
      <c r="K105" s="1">
        <f t="shared" si="8"/>
        <v>3.6962127126061448E-17</v>
      </c>
      <c r="L105" s="17">
        <f t="shared" si="9"/>
        <v>988.60758649931472</v>
      </c>
    </row>
    <row r="106" spans="1:12" x14ac:dyDescent="0.3">
      <c r="A106" s="9">
        <v>1.2589300000000001</v>
      </c>
      <c r="B106" s="10" t="s">
        <v>11</v>
      </c>
      <c r="C106" s="5">
        <v>-20</v>
      </c>
      <c r="D106" s="9">
        <v>993.92</v>
      </c>
      <c r="E106" s="9">
        <v>44.018999999999998</v>
      </c>
      <c r="F106" s="11">
        <v>4.4290000000000003E-2</v>
      </c>
      <c r="G106" s="12">
        <f t="shared" si="5"/>
        <v>0.10000158280135207</v>
      </c>
      <c r="H106" s="1">
        <v>2.705472E+16</v>
      </c>
      <c r="I106" s="2">
        <f t="shared" si="6"/>
        <v>16.432243043606462</v>
      </c>
      <c r="J106" s="2">
        <f t="shared" si="7"/>
        <v>16.532244626407813</v>
      </c>
      <c r="K106" s="1">
        <f t="shared" si="8"/>
        <v>2.9359954188129137E-17</v>
      </c>
      <c r="L106" s="17">
        <f t="shared" si="9"/>
        <v>994.89428521878642</v>
      </c>
    </row>
    <row r="107" spans="1:12" x14ac:dyDescent="0.3">
      <c r="A107" s="9">
        <v>1.5848899999999999</v>
      </c>
      <c r="B107" s="10" t="s">
        <v>11</v>
      </c>
      <c r="C107" s="5">
        <v>-20</v>
      </c>
      <c r="D107" s="9">
        <v>1000.1</v>
      </c>
      <c r="E107" s="9">
        <v>43.692</v>
      </c>
      <c r="F107" s="11">
        <v>4.369E-2</v>
      </c>
      <c r="G107" s="12">
        <f t="shared" si="5"/>
        <v>0.19999912519679666</v>
      </c>
      <c r="H107" s="1">
        <v>2.705472E+16</v>
      </c>
      <c r="I107" s="2">
        <f t="shared" si="6"/>
        <v>16.432243043606462</v>
      </c>
      <c r="J107" s="2">
        <f t="shared" si="7"/>
        <v>16.632242168803259</v>
      </c>
      <c r="K107" s="1">
        <f t="shared" si="8"/>
        <v>2.3321572554600893E-17</v>
      </c>
      <c r="L107" s="17">
        <f t="shared" si="9"/>
        <v>1001.0539450319349</v>
      </c>
    </row>
    <row r="108" spans="1:12" x14ac:dyDescent="0.3">
      <c r="A108" s="9">
        <v>1.99526</v>
      </c>
      <c r="B108" s="10" t="s">
        <v>11</v>
      </c>
      <c r="C108" s="5">
        <v>-20</v>
      </c>
      <c r="D108" s="9">
        <v>1006.5</v>
      </c>
      <c r="E108" s="9">
        <v>43.86</v>
      </c>
      <c r="F108" s="11">
        <v>4.3580000000000001E-2</v>
      </c>
      <c r="G108" s="12">
        <f t="shared" si="5"/>
        <v>0.29999949611698379</v>
      </c>
      <c r="H108" s="1">
        <v>2.705472E+16</v>
      </c>
      <c r="I108" s="2">
        <f t="shared" si="6"/>
        <v>16.432243043606462</v>
      </c>
      <c r="J108" s="2">
        <f t="shared" si="7"/>
        <v>16.732242539723448</v>
      </c>
      <c r="K108" s="1">
        <f t="shared" si="8"/>
        <v>1.8524967736566208E-17</v>
      </c>
      <c r="L108" s="17">
        <f t="shared" si="9"/>
        <v>1007.4551849089864</v>
      </c>
    </row>
    <row r="109" spans="1:12" x14ac:dyDescent="0.3">
      <c r="A109" s="9">
        <v>2.5118900000000002</v>
      </c>
      <c r="B109" s="10" t="s">
        <v>11</v>
      </c>
      <c r="C109" s="5">
        <v>-20</v>
      </c>
      <c r="D109" s="9">
        <v>1012.7</v>
      </c>
      <c r="E109" s="9">
        <v>43.165999999999997</v>
      </c>
      <c r="F109" s="11">
        <v>4.2619999999999998E-2</v>
      </c>
      <c r="G109" s="12">
        <f t="shared" si="5"/>
        <v>0.40000061697637995</v>
      </c>
      <c r="H109" s="1">
        <v>2.705472E+16</v>
      </c>
      <c r="I109" s="2">
        <f t="shared" si="6"/>
        <v>16.432243043606462</v>
      </c>
      <c r="J109" s="2">
        <f t="shared" si="7"/>
        <v>16.832243660582844</v>
      </c>
      <c r="K109" s="1">
        <f t="shared" si="8"/>
        <v>1.4714866943242368E-17</v>
      </c>
      <c r="L109" s="17">
        <f t="shared" si="9"/>
        <v>1013.6195506974005</v>
      </c>
    </row>
    <row r="110" spans="1:12" x14ac:dyDescent="0.3">
      <c r="A110" s="9">
        <v>3.16228</v>
      </c>
      <c r="B110" s="10" t="s">
        <v>11</v>
      </c>
      <c r="C110" s="5">
        <v>-20</v>
      </c>
      <c r="D110" s="9">
        <v>1018.6</v>
      </c>
      <c r="E110" s="9">
        <v>43.307000000000002</v>
      </c>
      <c r="F110" s="11">
        <v>4.2509999999999999E-2</v>
      </c>
      <c r="G110" s="12">
        <f t="shared" si="5"/>
        <v>0.50000032134293526</v>
      </c>
      <c r="H110" s="1">
        <v>2.705472E+16</v>
      </c>
      <c r="I110" s="2">
        <f t="shared" si="6"/>
        <v>16.432243043606462</v>
      </c>
      <c r="J110" s="2">
        <f t="shared" si="7"/>
        <v>16.932243364949397</v>
      </c>
      <c r="K110" s="1">
        <f t="shared" si="8"/>
        <v>1.1688442239795796E-17</v>
      </c>
      <c r="L110" s="17">
        <f t="shared" si="9"/>
        <v>1019.5202088477697</v>
      </c>
    </row>
    <row r="111" spans="1:12" x14ac:dyDescent="0.3">
      <c r="A111" s="9">
        <v>3.9810699999999999</v>
      </c>
      <c r="B111" s="10" t="s">
        <v>11</v>
      </c>
      <c r="C111" s="5">
        <v>-20</v>
      </c>
      <c r="D111" s="9">
        <v>1024.9000000000001</v>
      </c>
      <c r="E111" s="9">
        <v>43.09</v>
      </c>
      <c r="F111" s="11">
        <v>4.2040000000000001E-2</v>
      </c>
      <c r="G111" s="12">
        <f t="shared" si="5"/>
        <v>0.59999981394342006</v>
      </c>
      <c r="H111" s="1">
        <v>2.705472E+16</v>
      </c>
      <c r="I111" s="2">
        <f t="shared" si="6"/>
        <v>16.432243043606462</v>
      </c>
      <c r="J111" s="2">
        <f t="shared" si="7"/>
        <v>17.032242857549882</v>
      </c>
      <c r="K111" s="1">
        <f t="shared" si="8"/>
        <v>9.284470538338019E-18</v>
      </c>
      <c r="L111" s="17">
        <f t="shared" si="9"/>
        <v>1025.8054192194543</v>
      </c>
    </row>
    <row r="112" spans="1:12" x14ac:dyDescent="0.3">
      <c r="A112" s="9">
        <v>5.01187</v>
      </c>
      <c r="B112" s="10" t="s">
        <v>11</v>
      </c>
      <c r="C112" s="5">
        <v>-20</v>
      </c>
      <c r="D112" s="9">
        <v>1031.0999999999999</v>
      </c>
      <c r="E112" s="9">
        <v>43.241</v>
      </c>
      <c r="F112" s="11">
        <v>4.1930000000000002E-2</v>
      </c>
      <c r="G112" s="12">
        <f t="shared" si="5"/>
        <v>0.69999979755458241</v>
      </c>
      <c r="H112" s="1">
        <v>2.705472E+16</v>
      </c>
      <c r="I112" s="2">
        <f t="shared" si="6"/>
        <v>16.432243043606462</v>
      </c>
      <c r="J112" s="2">
        <f t="shared" si="7"/>
        <v>17.132242841161045</v>
      </c>
      <c r="K112" s="1">
        <f t="shared" si="8"/>
        <v>7.3749173713726124E-18</v>
      </c>
      <c r="L112" s="17">
        <f t="shared" si="9"/>
        <v>1032.006295562677</v>
      </c>
    </row>
    <row r="113" spans="1:12" x14ac:dyDescent="0.3">
      <c r="A113" s="9">
        <v>6.3095800000000004</v>
      </c>
      <c r="B113" s="10" t="s">
        <v>11</v>
      </c>
      <c r="C113" s="5">
        <v>-20</v>
      </c>
      <c r="D113" s="9">
        <v>1037.2</v>
      </c>
      <c r="E113" s="9">
        <v>43.18</v>
      </c>
      <c r="F113" s="11">
        <v>4.163E-2</v>
      </c>
      <c r="G113" s="12">
        <f t="shared" si="5"/>
        <v>0.80000045120084495</v>
      </c>
      <c r="H113" s="1">
        <v>2.705472E+16</v>
      </c>
      <c r="I113" s="2">
        <f t="shared" si="6"/>
        <v>16.432243043606462</v>
      </c>
      <c r="J113" s="2">
        <f t="shared" si="7"/>
        <v>17.232243494807307</v>
      </c>
      <c r="K113" s="1">
        <f t="shared" si="8"/>
        <v>5.858096279952267E-18</v>
      </c>
      <c r="L113" s="17">
        <f t="shared" si="9"/>
        <v>1038.0984309784888</v>
      </c>
    </row>
    <row r="114" spans="1:12" x14ac:dyDescent="0.3">
      <c r="A114" s="9">
        <v>7.9432900000000002</v>
      </c>
      <c r="B114" s="10" t="s">
        <v>11</v>
      </c>
      <c r="C114" s="5">
        <v>-20</v>
      </c>
      <c r="D114" s="9">
        <v>1043.4000000000001</v>
      </c>
      <c r="E114" s="9">
        <v>43.210999999999999</v>
      </c>
      <c r="F114" s="11">
        <v>4.1410000000000002E-2</v>
      </c>
      <c r="G114" s="12">
        <f t="shared" si="5"/>
        <v>0.90000041840998102</v>
      </c>
      <c r="H114" s="1">
        <v>2.705472E+16</v>
      </c>
      <c r="I114" s="2">
        <f t="shared" si="6"/>
        <v>16.432243043606462</v>
      </c>
      <c r="J114" s="2">
        <f t="shared" si="7"/>
        <v>17.332243462016443</v>
      </c>
      <c r="K114" s="1">
        <f t="shared" si="8"/>
        <v>4.6532516282373323E-18</v>
      </c>
      <c r="L114" s="17">
        <f t="shared" si="9"/>
        <v>1044.2943792441863</v>
      </c>
    </row>
    <row r="115" spans="1:12" x14ac:dyDescent="0.3">
      <c r="A115" s="9">
        <v>10</v>
      </c>
      <c r="B115" s="10" t="s">
        <v>11</v>
      </c>
      <c r="C115" s="5">
        <v>-20</v>
      </c>
      <c r="D115" s="9">
        <v>1049.5999999999999</v>
      </c>
      <c r="E115" s="9">
        <v>43.658000000000001</v>
      </c>
      <c r="F115" s="11">
        <v>4.1599999999999998E-2</v>
      </c>
      <c r="G115" s="12">
        <f t="shared" si="5"/>
        <v>1</v>
      </c>
      <c r="H115" s="1">
        <v>2.705472E+16</v>
      </c>
      <c r="I115" s="2">
        <f t="shared" si="6"/>
        <v>16.432243043606462</v>
      </c>
      <c r="J115" s="2">
        <f t="shared" si="7"/>
        <v>17.432243043606462</v>
      </c>
      <c r="K115" s="1">
        <f t="shared" si="8"/>
        <v>3.696212712606128E-18</v>
      </c>
      <c r="L115" s="17">
        <f t="shared" si="9"/>
        <v>1050.5075825352237</v>
      </c>
    </row>
    <row r="116" spans="1:12" x14ac:dyDescent="0.3">
      <c r="A116" s="9">
        <v>12.5893</v>
      </c>
      <c r="B116" s="10" t="s">
        <v>11</v>
      </c>
      <c r="C116" s="5">
        <v>-20</v>
      </c>
      <c r="D116" s="9">
        <v>1055.5</v>
      </c>
      <c r="E116" s="9">
        <v>43.902999999999999</v>
      </c>
      <c r="F116" s="11">
        <v>4.1590000000000002E-2</v>
      </c>
      <c r="G116" s="12">
        <f t="shared" si="5"/>
        <v>1.1000015828013521</v>
      </c>
      <c r="H116" s="1">
        <v>2.705472E+16</v>
      </c>
      <c r="I116" s="2">
        <f t="shared" si="6"/>
        <v>16.432243043606462</v>
      </c>
      <c r="J116" s="2">
        <f t="shared" si="7"/>
        <v>17.532244626407813</v>
      </c>
      <c r="K116" s="1">
        <f t="shared" si="8"/>
        <v>2.9359954188129215E-18</v>
      </c>
      <c r="L116" s="17">
        <f t="shared" si="9"/>
        <v>1056.4126671945012</v>
      </c>
    </row>
    <row r="117" spans="1:12" x14ac:dyDescent="0.3">
      <c r="A117" s="9">
        <v>15.8489</v>
      </c>
      <c r="B117" s="10" t="s">
        <v>11</v>
      </c>
      <c r="C117" s="5">
        <v>-20</v>
      </c>
      <c r="D117" s="9">
        <v>1061.7</v>
      </c>
      <c r="E117" s="9">
        <v>44.317</v>
      </c>
      <c r="F117" s="11">
        <v>4.1739999999999999E-2</v>
      </c>
      <c r="G117" s="12">
        <f t="shared" si="5"/>
        <v>1.1999991251967967</v>
      </c>
      <c r="H117" s="1">
        <v>2.705472E+16</v>
      </c>
      <c r="I117" s="2">
        <f t="shared" si="6"/>
        <v>16.432243043606462</v>
      </c>
      <c r="J117" s="2">
        <f t="shared" si="7"/>
        <v>17.632242168803259</v>
      </c>
      <c r="K117" s="1">
        <f t="shared" si="8"/>
        <v>2.3321572554600783E-18</v>
      </c>
      <c r="L117" s="17">
        <f t="shared" si="9"/>
        <v>1062.6245275208926</v>
      </c>
    </row>
    <row r="118" spans="1:12" x14ac:dyDescent="0.3">
      <c r="A118" s="9">
        <v>19.9526</v>
      </c>
      <c r="B118" s="10" t="s">
        <v>11</v>
      </c>
      <c r="C118" s="5">
        <v>-20</v>
      </c>
      <c r="D118" s="9">
        <v>1068.2</v>
      </c>
      <c r="E118" s="9">
        <v>44.777000000000001</v>
      </c>
      <c r="F118" s="11">
        <v>4.1919999999999999E-2</v>
      </c>
      <c r="G118" s="12">
        <f t="shared" si="5"/>
        <v>1.2999994961169838</v>
      </c>
      <c r="H118" s="1">
        <v>2.705472E+16</v>
      </c>
      <c r="I118" s="2">
        <f t="shared" si="6"/>
        <v>16.432243043606462</v>
      </c>
      <c r="J118" s="2">
        <f t="shared" si="7"/>
        <v>17.732242539723448</v>
      </c>
      <c r="K118" s="1">
        <f t="shared" si="8"/>
        <v>1.8524967736566255E-18</v>
      </c>
      <c r="L118" s="17">
        <f t="shared" si="9"/>
        <v>1069.1380732763191</v>
      </c>
    </row>
    <row r="119" spans="1:12" x14ac:dyDescent="0.3">
      <c r="A119" s="9">
        <v>25.1189</v>
      </c>
      <c r="B119" s="10" t="s">
        <v>11</v>
      </c>
      <c r="C119" s="5">
        <v>-20</v>
      </c>
      <c r="D119" s="9">
        <v>1074.5999999999999</v>
      </c>
      <c r="E119" s="9">
        <v>45.456000000000003</v>
      </c>
      <c r="F119" s="11">
        <v>4.2299999999999997E-2</v>
      </c>
      <c r="G119" s="12">
        <f t="shared" si="5"/>
        <v>1.4000006169763799</v>
      </c>
      <c r="H119" s="1">
        <v>2.705472E+16</v>
      </c>
      <c r="I119" s="2">
        <f t="shared" si="6"/>
        <v>16.432243043606462</v>
      </c>
      <c r="J119" s="2">
        <f t="shared" si="7"/>
        <v>17.832243660582844</v>
      </c>
      <c r="K119" s="1">
        <f t="shared" si="8"/>
        <v>1.4714866943242405E-18</v>
      </c>
      <c r="L119" s="17">
        <f t="shared" si="9"/>
        <v>1075.5609736021477</v>
      </c>
    </row>
    <row r="120" spans="1:12" x14ac:dyDescent="0.3">
      <c r="A120" s="9">
        <v>31.622800000000002</v>
      </c>
      <c r="B120" s="10" t="s">
        <v>11</v>
      </c>
      <c r="C120" s="5">
        <v>-20</v>
      </c>
      <c r="D120" s="9">
        <v>1081.3</v>
      </c>
      <c r="E120" s="9">
        <v>45.637999999999998</v>
      </c>
      <c r="F120" s="11">
        <v>4.2209999999999998E-2</v>
      </c>
      <c r="G120" s="12">
        <f t="shared" si="5"/>
        <v>1.5000003213429354</v>
      </c>
      <c r="H120" s="1">
        <v>2.705472E+16</v>
      </c>
      <c r="I120" s="2">
        <f t="shared" si="6"/>
        <v>16.432243043606462</v>
      </c>
      <c r="J120" s="2">
        <f t="shared" si="7"/>
        <v>17.932243364949397</v>
      </c>
      <c r="K120" s="1">
        <f t="shared" si="8"/>
        <v>1.1688442239795741E-18</v>
      </c>
      <c r="L120" s="17">
        <f t="shared" si="9"/>
        <v>1082.2626839376842</v>
      </c>
    </row>
    <row r="121" spans="1:12" x14ac:dyDescent="0.3">
      <c r="A121" s="9">
        <v>39.810699999999997</v>
      </c>
      <c r="B121" s="10" t="s">
        <v>11</v>
      </c>
      <c r="C121" s="5">
        <v>-20</v>
      </c>
      <c r="D121" s="9">
        <v>1087.2</v>
      </c>
      <c r="E121" s="9">
        <v>46.366</v>
      </c>
      <c r="F121" s="11">
        <v>4.265E-2</v>
      </c>
      <c r="G121" s="12">
        <f t="shared" si="5"/>
        <v>1.5999998139434199</v>
      </c>
      <c r="H121" s="1">
        <v>2.705472E+16</v>
      </c>
      <c r="I121" s="2">
        <f t="shared" si="6"/>
        <v>16.432243043606462</v>
      </c>
      <c r="J121" s="2">
        <f t="shared" si="7"/>
        <v>18.032242857549882</v>
      </c>
      <c r="K121" s="1">
        <f t="shared" si="8"/>
        <v>9.284470538338041E-19</v>
      </c>
      <c r="L121" s="17">
        <f t="shared" si="9"/>
        <v>1088.1882401294365</v>
      </c>
    </row>
    <row r="122" spans="1:12" x14ac:dyDescent="0.3">
      <c r="A122" s="9">
        <v>50.1188</v>
      </c>
      <c r="B122" s="10" t="s">
        <v>11</v>
      </c>
      <c r="C122" s="5">
        <v>-20</v>
      </c>
      <c r="D122" s="9">
        <v>1093.5999999999999</v>
      </c>
      <c r="E122" s="9">
        <v>47.137</v>
      </c>
      <c r="F122" s="11">
        <v>4.3099999999999999E-2</v>
      </c>
      <c r="G122" s="12">
        <f t="shared" si="5"/>
        <v>1.7000006640855352</v>
      </c>
      <c r="H122" s="1">
        <v>2.705472E+16</v>
      </c>
      <c r="I122" s="2">
        <f t="shared" si="6"/>
        <v>16.432243043606462</v>
      </c>
      <c r="J122" s="2">
        <f t="shared" si="7"/>
        <v>18.132243707691998</v>
      </c>
      <c r="K122" s="1">
        <f t="shared" si="8"/>
        <v>7.3749026565004016E-19</v>
      </c>
      <c r="L122" s="17">
        <f t="shared" si="9"/>
        <v>1094.6153921670386</v>
      </c>
    </row>
    <row r="123" spans="1:12" x14ac:dyDescent="0.3">
      <c r="A123" s="9">
        <v>63.095799999999997</v>
      </c>
      <c r="B123" s="10" t="s">
        <v>11</v>
      </c>
      <c r="C123" s="5">
        <v>-20</v>
      </c>
      <c r="D123" s="9">
        <v>1099.5</v>
      </c>
      <c r="E123" s="9">
        <v>47.621000000000002</v>
      </c>
      <c r="F123" s="11">
        <v>4.3310000000000001E-2</v>
      </c>
      <c r="G123" s="12">
        <f t="shared" si="5"/>
        <v>1.800000451200845</v>
      </c>
      <c r="H123" s="1">
        <v>2.705472E+16</v>
      </c>
      <c r="I123" s="2">
        <f t="shared" si="6"/>
        <v>16.432243043606462</v>
      </c>
      <c r="J123" s="2">
        <f t="shared" si="7"/>
        <v>18.232243494807307</v>
      </c>
      <c r="K123" s="1">
        <f t="shared" si="8"/>
        <v>5.8580962799522822E-19</v>
      </c>
      <c r="L123" s="17">
        <f t="shared" si="9"/>
        <v>1100.5307854126572</v>
      </c>
    </row>
    <row r="124" spans="1:12" x14ac:dyDescent="0.3">
      <c r="A124" s="9">
        <v>79.432900000000004</v>
      </c>
      <c r="B124" s="10" t="s">
        <v>11</v>
      </c>
      <c r="C124" s="5">
        <v>-20</v>
      </c>
      <c r="D124" s="9">
        <v>1106.0999999999999</v>
      </c>
      <c r="E124" s="9">
        <v>48.292999999999999</v>
      </c>
      <c r="F124" s="11">
        <v>4.3659999999999997E-2</v>
      </c>
      <c r="G124" s="12">
        <f t="shared" si="5"/>
        <v>1.900000418409981</v>
      </c>
      <c r="H124" s="1">
        <v>2.705472E+16</v>
      </c>
      <c r="I124" s="2">
        <f t="shared" si="6"/>
        <v>16.432243043606462</v>
      </c>
      <c r="J124" s="2">
        <f t="shared" si="7"/>
        <v>18.332243462016443</v>
      </c>
      <c r="K124" s="1">
        <f t="shared" si="8"/>
        <v>4.6532516282373434E-19</v>
      </c>
      <c r="L124" s="17">
        <f t="shared" si="9"/>
        <v>1107.1537489657883</v>
      </c>
    </row>
    <row r="125" spans="1:12" x14ac:dyDescent="0.3">
      <c r="A125" s="9">
        <v>100</v>
      </c>
      <c r="B125" s="10" t="s">
        <v>11</v>
      </c>
      <c r="C125" s="5">
        <v>-20</v>
      </c>
      <c r="D125" s="9">
        <v>1112.4000000000001</v>
      </c>
      <c r="E125" s="9">
        <v>48.807000000000002</v>
      </c>
      <c r="F125" s="11">
        <v>4.3880000000000002E-2</v>
      </c>
      <c r="G125" s="12">
        <f t="shared" si="5"/>
        <v>2</v>
      </c>
      <c r="H125" s="1">
        <v>2.705472E+16</v>
      </c>
      <c r="I125" s="2">
        <f t="shared" si="6"/>
        <v>16.432243043606462</v>
      </c>
      <c r="J125" s="2">
        <f t="shared" si="7"/>
        <v>18.432243043606462</v>
      </c>
      <c r="K125" s="1">
        <f t="shared" si="8"/>
        <v>3.6962127126061363E-19</v>
      </c>
      <c r="L125" s="17">
        <f t="shared" si="9"/>
        <v>1113.4701986353296</v>
      </c>
    </row>
    <row r="126" spans="1:12" x14ac:dyDescent="0.3">
      <c r="A126" s="4">
        <v>0.1</v>
      </c>
      <c r="B126" s="5" t="s">
        <v>12</v>
      </c>
      <c r="C126" s="5">
        <v>-10</v>
      </c>
      <c r="D126" s="4">
        <v>805.11</v>
      </c>
      <c r="E126" s="4">
        <v>49.27</v>
      </c>
      <c r="F126" s="6">
        <v>6.1199999999999997E-2</v>
      </c>
      <c r="G126" s="7">
        <f t="shared" si="5"/>
        <v>-1</v>
      </c>
      <c r="H126" s="1">
        <v>489600000000000</v>
      </c>
      <c r="I126" s="2">
        <f t="shared" si="6"/>
        <v>14.689841409137506</v>
      </c>
      <c r="J126" s="2">
        <f t="shared" si="7"/>
        <v>13.689841409137506</v>
      </c>
      <c r="K126" s="1">
        <f t="shared" si="8"/>
        <v>2.0424836601307104E-14</v>
      </c>
      <c r="L126" s="17">
        <f t="shared" si="9"/>
        <v>806.61616956269847</v>
      </c>
    </row>
    <row r="127" spans="1:12" x14ac:dyDescent="0.3">
      <c r="A127" s="4">
        <v>0.12589</v>
      </c>
      <c r="B127" s="5" t="s">
        <v>12</v>
      </c>
      <c r="C127" s="5">
        <v>-10</v>
      </c>
      <c r="D127" s="4">
        <v>814.57</v>
      </c>
      <c r="E127" s="4">
        <v>44.819000000000003</v>
      </c>
      <c r="F127" s="6">
        <v>5.5019999999999999E-2</v>
      </c>
      <c r="G127" s="7">
        <f t="shared" si="5"/>
        <v>-0.90000876645531558</v>
      </c>
      <c r="H127" s="1">
        <v>489600000000000</v>
      </c>
      <c r="I127" s="2">
        <f t="shared" si="6"/>
        <v>14.689841409137506</v>
      </c>
      <c r="J127" s="2">
        <f t="shared" si="7"/>
        <v>13.789832642682191</v>
      </c>
      <c r="K127" s="1">
        <f t="shared" si="8"/>
        <v>1.6224351895549327E-14</v>
      </c>
      <c r="L127" s="17">
        <f t="shared" si="9"/>
        <v>815.80207627892196</v>
      </c>
    </row>
    <row r="128" spans="1:12" x14ac:dyDescent="0.3">
      <c r="A128" s="4">
        <v>0.15848999999999999</v>
      </c>
      <c r="B128" s="5" t="s">
        <v>12</v>
      </c>
      <c r="C128" s="5">
        <v>-10</v>
      </c>
      <c r="D128" s="4">
        <v>823.01</v>
      </c>
      <c r="E128" s="4">
        <v>42.804000000000002</v>
      </c>
      <c r="F128" s="6">
        <v>5.2010000000000001E-2</v>
      </c>
      <c r="G128" s="7">
        <f t="shared" si="5"/>
        <v>-0.79999813459339819</v>
      </c>
      <c r="H128" s="1">
        <v>489600000000000</v>
      </c>
      <c r="I128" s="2">
        <f t="shared" si="6"/>
        <v>14.689841409137506</v>
      </c>
      <c r="J128" s="2">
        <f t="shared" si="7"/>
        <v>13.889843274544107</v>
      </c>
      <c r="K128" s="1">
        <f t="shared" si="8"/>
        <v>1.2887145309677001E-14</v>
      </c>
      <c r="L128" s="17">
        <f t="shared" si="9"/>
        <v>824.12234681265625</v>
      </c>
    </row>
    <row r="129" spans="1:12" x14ac:dyDescent="0.3">
      <c r="A129" s="4">
        <v>0.19953000000000001</v>
      </c>
      <c r="B129" s="5" t="s">
        <v>12</v>
      </c>
      <c r="C129" s="5">
        <v>-10</v>
      </c>
      <c r="D129" s="4">
        <v>830.78</v>
      </c>
      <c r="E129" s="4">
        <v>41.901000000000003</v>
      </c>
      <c r="F129" s="6">
        <v>5.0439999999999999E-2</v>
      </c>
      <c r="G129" s="7">
        <f t="shared" si="5"/>
        <v>-0.69999179744618689</v>
      </c>
      <c r="H129" s="1">
        <v>489600000000000</v>
      </c>
      <c r="I129" s="2">
        <f t="shared" si="6"/>
        <v>14.689841409137506</v>
      </c>
      <c r="J129" s="2">
        <f t="shared" si="7"/>
        <v>13.989849611691319</v>
      </c>
      <c r="K129" s="1">
        <f t="shared" si="8"/>
        <v>1.0236474014587791E-14</v>
      </c>
      <c r="L129" s="17">
        <f t="shared" si="9"/>
        <v>831.83598275200859</v>
      </c>
    </row>
    <row r="130" spans="1:12" x14ac:dyDescent="0.3">
      <c r="A130" s="4">
        <v>0.25119000000000002</v>
      </c>
      <c r="B130" s="5" t="s">
        <v>12</v>
      </c>
      <c r="C130" s="5">
        <v>-10</v>
      </c>
      <c r="D130" s="4">
        <v>837.8</v>
      </c>
      <c r="E130" s="4">
        <v>41.162999999999997</v>
      </c>
      <c r="F130" s="6">
        <v>4.913E-2</v>
      </c>
      <c r="G130" s="7">
        <f t="shared" si="5"/>
        <v>-0.59999765407204408</v>
      </c>
      <c r="H130" s="1">
        <v>489600000000000</v>
      </c>
      <c r="I130" s="2">
        <f t="shared" si="6"/>
        <v>14.689841409137506</v>
      </c>
      <c r="J130" s="2">
        <f t="shared" si="7"/>
        <v>14.089843755065461</v>
      </c>
      <c r="K130" s="1">
        <f t="shared" si="8"/>
        <v>8.1312299857904854E-15</v>
      </c>
      <c r="L130" s="17">
        <f t="shared" si="9"/>
        <v>838.81060589921015</v>
      </c>
    </row>
    <row r="131" spans="1:12" x14ac:dyDescent="0.3">
      <c r="A131" s="4">
        <v>0.31623000000000001</v>
      </c>
      <c r="B131" s="5" t="s">
        <v>12</v>
      </c>
      <c r="C131" s="5">
        <v>-10</v>
      </c>
      <c r="D131" s="4">
        <v>844.46</v>
      </c>
      <c r="E131" s="4">
        <v>41.103000000000002</v>
      </c>
      <c r="F131" s="6">
        <v>4.8669999999999998E-2</v>
      </c>
      <c r="G131" s="7">
        <f t="shared" ref="G131:G194" si="10">LOG(A131)</f>
        <v>-0.4999969319483068</v>
      </c>
      <c r="H131" s="1">
        <v>489600000000000</v>
      </c>
      <c r="I131" s="2">
        <f t="shared" ref="I131:I194" si="11">LOG(H131)</f>
        <v>14.689841409137506</v>
      </c>
      <c r="J131" s="2">
        <f t="shared" ref="J131:J194" si="12">G131+I131</f>
        <v>14.189844477189199</v>
      </c>
      <c r="K131" s="1">
        <f t="shared" ref="K131:K194" si="13">1/10^J131</f>
        <v>6.4588548212715495E-15</v>
      </c>
      <c r="L131" s="17">
        <f t="shared" ref="L131:L194" si="14">SQRT(D131^2+E131^2)</f>
        <v>845.45972595328283</v>
      </c>
    </row>
    <row r="132" spans="1:12" x14ac:dyDescent="0.3">
      <c r="A132" s="4">
        <v>0.39811000000000002</v>
      </c>
      <c r="B132" s="5" t="s">
        <v>12</v>
      </c>
      <c r="C132" s="5">
        <v>-10</v>
      </c>
      <c r="D132" s="4">
        <v>850.87</v>
      </c>
      <c r="E132" s="4">
        <v>40.503999999999998</v>
      </c>
      <c r="F132" s="6">
        <v>4.7600000000000003E-2</v>
      </c>
      <c r="G132" s="7">
        <f t="shared" si="10"/>
        <v>-0.39999691337225962</v>
      </c>
      <c r="H132" s="1">
        <v>489600000000000</v>
      </c>
      <c r="I132" s="2">
        <f t="shared" si="11"/>
        <v>14.689841409137506</v>
      </c>
      <c r="J132" s="2">
        <f t="shared" si="12"/>
        <v>14.289844495765246</v>
      </c>
      <c r="K132" s="1">
        <f t="shared" si="13"/>
        <v>5.1304505290766701E-15</v>
      </c>
      <c r="L132" s="17">
        <f t="shared" si="14"/>
        <v>851.83351126613945</v>
      </c>
    </row>
    <row r="133" spans="1:12" x14ac:dyDescent="0.3">
      <c r="A133" s="4">
        <v>0.50119000000000002</v>
      </c>
      <c r="B133" s="5" t="s">
        <v>12</v>
      </c>
      <c r="C133" s="5">
        <v>-10</v>
      </c>
      <c r="D133" s="4">
        <v>857</v>
      </c>
      <c r="E133" s="4">
        <v>40.067</v>
      </c>
      <c r="F133" s="6">
        <v>4.675E-2</v>
      </c>
      <c r="G133" s="7">
        <f t="shared" si="10"/>
        <v>-0.29999760285774607</v>
      </c>
      <c r="H133" s="1">
        <v>489600000000000</v>
      </c>
      <c r="I133" s="2">
        <f t="shared" si="11"/>
        <v>14.689841409137506</v>
      </c>
      <c r="J133" s="2">
        <f t="shared" si="12"/>
        <v>14.38984380627976</v>
      </c>
      <c r="K133" s="1">
        <f t="shared" si="13"/>
        <v>4.0752681819882923E-15</v>
      </c>
      <c r="L133" s="17">
        <f t="shared" si="14"/>
        <v>857.93610746313743</v>
      </c>
    </row>
    <row r="134" spans="1:12" x14ac:dyDescent="0.3">
      <c r="A134" s="4">
        <v>0.63095999999999997</v>
      </c>
      <c r="B134" s="5" t="s">
        <v>12</v>
      </c>
      <c r="C134" s="5">
        <v>-10</v>
      </c>
      <c r="D134" s="4">
        <v>863.14</v>
      </c>
      <c r="E134" s="4">
        <v>40.404000000000003</v>
      </c>
      <c r="F134" s="6">
        <v>4.6809999999999997E-2</v>
      </c>
      <c r="G134" s="7">
        <f t="shared" si="10"/>
        <v>-0.19999817218203128</v>
      </c>
      <c r="H134" s="1">
        <v>489600000000000</v>
      </c>
      <c r="I134" s="2">
        <f t="shared" si="11"/>
        <v>14.689841409137506</v>
      </c>
      <c r="J134" s="2">
        <f t="shared" si="12"/>
        <v>14.489843236955474</v>
      </c>
      <c r="K134" s="1">
        <f t="shared" si="13"/>
        <v>3.2371048246017369E-15</v>
      </c>
      <c r="L134" s="17">
        <f t="shared" si="14"/>
        <v>864.08514789689571</v>
      </c>
    </row>
    <row r="135" spans="1:12" x14ac:dyDescent="0.3">
      <c r="A135" s="4">
        <v>0.79432999999999998</v>
      </c>
      <c r="B135" s="5" t="s">
        <v>12</v>
      </c>
      <c r="C135" s="5">
        <v>-10</v>
      </c>
      <c r="D135" s="4">
        <v>868.67</v>
      </c>
      <c r="E135" s="4">
        <v>40.052</v>
      </c>
      <c r="F135" s="6">
        <v>4.6109999999999998E-2</v>
      </c>
      <c r="G135" s="7">
        <f t="shared" si="10"/>
        <v>-9.9999034846530471E-2</v>
      </c>
      <c r="H135" s="1">
        <v>489600000000000</v>
      </c>
      <c r="I135" s="2">
        <f t="shared" si="11"/>
        <v>14.689841409137506</v>
      </c>
      <c r="J135" s="2">
        <f t="shared" si="12"/>
        <v>14.589842374290976</v>
      </c>
      <c r="K135" s="1">
        <f t="shared" si="13"/>
        <v>2.5713288685190124E-15</v>
      </c>
      <c r="L135" s="17">
        <f t="shared" si="14"/>
        <v>869.59285392877973</v>
      </c>
    </row>
    <row r="136" spans="1:12" x14ac:dyDescent="0.3">
      <c r="A136" s="4">
        <v>1</v>
      </c>
      <c r="B136" s="5" t="s">
        <v>12</v>
      </c>
      <c r="C136" s="5">
        <v>-10</v>
      </c>
      <c r="D136" s="4">
        <v>874.89</v>
      </c>
      <c r="E136" s="4">
        <v>40.064</v>
      </c>
      <c r="F136" s="6">
        <v>4.5789999999999997E-2</v>
      </c>
      <c r="G136" s="7">
        <f t="shared" si="10"/>
        <v>0</v>
      </c>
      <c r="H136" s="1">
        <v>489600000000000</v>
      </c>
      <c r="I136" s="2">
        <f t="shared" si="11"/>
        <v>14.689841409137506</v>
      </c>
      <c r="J136" s="2">
        <f t="shared" si="12"/>
        <v>14.689841409137506</v>
      </c>
      <c r="K136" s="1">
        <f t="shared" si="13"/>
        <v>2.0424836601307152E-15</v>
      </c>
      <c r="L136" s="17">
        <f t="shared" si="14"/>
        <v>875.80684868068931</v>
      </c>
    </row>
    <row r="137" spans="1:12" x14ac:dyDescent="0.3">
      <c r="A137" s="4">
        <v>1.2589300000000001</v>
      </c>
      <c r="B137" s="5" t="s">
        <v>12</v>
      </c>
      <c r="C137" s="5">
        <v>-10</v>
      </c>
      <c r="D137" s="4">
        <v>880.79</v>
      </c>
      <c r="E137" s="4">
        <v>40.179000000000002</v>
      </c>
      <c r="F137" s="6">
        <v>4.5620000000000001E-2</v>
      </c>
      <c r="G137" s="7">
        <f t="shared" si="10"/>
        <v>0.10000158280135207</v>
      </c>
      <c r="H137" s="1">
        <v>489600000000000</v>
      </c>
      <c r="I137" s="2">
        <f t="shared" si="11"/>
        <v>14.689841409137506</v>
      </c>
      <c r="J137" s="2">
        <f t="shared" si="12"/>
        <v>14.789842991938858</v>
      </c>
      <c r="K137" s="1">
        <f t="shared" si="13"/>
        <v>1.6223965273134322E-15</v>
      </c>
      <c r="L137" s="17">
        <f t="shared" si="14"/>
        <v>881.70594652695854</v>
      </c>
    </row>
    <row r="138" spans="1:12" x14ac:dyDescent="0.3">
      <c r="A138" s="4">
        <v>1.5848899999999999</v>
      </c>
      <c r="B138" s="5" t="s">
        <v>12</v>
      </c>
      <c r="C138" s="5">
        <v>-10</v>
      </c>
      <c r="D138" s="4">
        <v>886.63</v>
      </c>
      <c r="E138" s="4">
        <v>40.487000000000002</v>
      </c>
      <c r="F138" s="6">
        <v>4.5659999999999999E-2</v>
      </c>
      <c r="G138" s="7">
        <f t="shared" si="10"/>
        <v>0.19999912519679666</v>
      </c>
      <c r="H138" s="1">
        <v>489600000000000</v>
      </c>
      <c r="I138" s="2">
        <f t="shared" si="11"/>
        <v>14.689841409137506</v>
      </c>
      <c r="J138" s="2">
        <f t="shared" si="12"/>
        <v>14.889840534334303</v>
      </c>
      <c r="K138" s="1">
        <f t="shared" si="13"/>
        <v>1.2887226622230647E-15</v>
      </c>
      <c r="L138" s="17">
        <f t="shared" si="14"/>
        <v>887.55391614763334</v>
      </c>
    </row>
    <row r="139" spans="1:12" x14ac:dyDescent="0.3">
      <c r="A139" s="4">
        <v>1.99526</v>
      </c>
      <c r="B139" s="5" t="s">
        <v>12</v>
      </c>
      <c r="C139" s="5">
        <v>-10</v>
      </c>
      <c r="D139" s="4">
        <v>892.16</v>
      </c>
      <c r="E139" s="4">
        <v>40.582999999999998</v>
      </c>
      <c r="F139" s="6">
        <v>4.5490000000000003E-2</v>
      </c>
      <c r="G139" s="7">
        <f t="shared" si="10"/>
        <v>0.29999949611698379</v>
      </c>
      <c r="H139" s="1">
        <v>489600000000000</v>
      </c>
      <c r="I139" s="2">
        <f t="shared" si="11"/>
        <v>14.689841409137506</v>
      </c>
      <c r="J139" s="2">
        <f t="shared" si="12"/>
        <v>14.989840905254489</v>
      </c>
      <c r="K139" s="1">
        <f t="shared" si="13"/>
        <v>1.023667923042967E-15</v>
      </c>
      <c r="L139" s="17">
        <f t="shared" si="14"/>
        <v>893.08255244910026</v>
      </c>
    </row>
    <row r="140" spans="1:12" x14ac:dyDescent="0.3">
      <c r="A140" s="4">
        <v>2.5118900000000002</v>
      </c>
      <c r="B140" s="5" t="s">
        <v>12</v>
      </c>
      <c r="C140" s="5">
        <v>-10</v>
      </c>
      <c r="D140" s="4">
        <v>898.21</v>
      </c>
      <c r="E140" s="4">
        <v>40.238</v>
      </c>
      <c r="F140" s="6">
        <v>4.48E-2</v>
      </c>
      <c r="G140" s="7">
        <f t="shared" si="10"/>
        <v>0.40000061697637995</v>
      </c>
      <c r="H140" s="1">
        <v>489600000000000</v>
      </c>
      <c r="I140" s="2">
        <f t="shared" si="11"/>
        <v>14.689841409137506</v>
      </c>
      <c r="J140" s="2">
        <f t="shared" si="12"/>
        <v>15.089842026113885</v>
      </c>
      <c r="K140" s="1">
        <f t="shared" si="13"/>
        <v>8.1312623567541132E-16</v>
      </c>
      <c r="L140" s="17">
        <f t="shared" si="14"/>
        <v>899.11083896480761</v>
      </c>
    </row>
    <row r="141" spans="1:12" x14ac:dyDescent="0.3">
      <c r="A141" s="4">
        <v>3.16228</v>
      </c>
      <c r="B141" s="5" t="s">
        <v>12</v>
      </c>
      <c r="C141" s="5">
        <v>-10</v>
      </c>
      <c r="D141" s="4">
        <v>903.89</v>
      </c>
      <c r="E141" s="4">
        <v>40.445</v>
      </c>
      <c r="F141" s="6">
        <v>4.4749999999999998E-2</v>
      </c>
      <c r="G141" s="7">
        <f t="shared" si="10"/>
        <v>0.50000032134293526</v>
      </c>
      <c r="H141" s="1">
        <v>489600000000000</v>
      </c>
      <c r="I141" s="2">
        <f t="shared" si="11"/>
        <v>14.689841409137506</v>
      </c>
      <c r="J141" s="2">
        <f t="shared" si="12"/>
        <v>15.18984173048044</v>
      </c>
      <c r="K141" s="1">
        <f t="shared" si="13"/>
        <v>6.4588956706259892E-16</v>
      </c>
      <c r="L141" s="17">
        <f t="shared" si="14"/>
        <v>904.79441318180113</v>
      </c>
    </row>
    <row r="142" spans="1:12" x14ac:dyDescent="0.3">
      <c r="A142" s="4">
        <v>3.9810699999999999</v>
      </c>
      <c r="B142" s="5" t="s">
        <v>12</v>
      </c>
      <c r="C142" s="5">
        <v>-10</v>
      </c>
      <c r="D142" s="4">
        <v>909.59</v>
      </c>
      <c r="E142" s="4">
        <v>40.838999999999999</v>
      </c>
      <c r="F142" s="6">
        <v>4.4900000000000002E-2</v>
      </c>
      <c r="G142" s="7">
        <f t="shared" si="10"/>
        <v>0.59999981394342006</v>
      </c>
      <c r="H142" s="1">
        <v>489600000000000</v>
      </c>
      <c r="I142" s="2">
        <f t="shared" si="11"/>
        <v>14.689841409137506</v>
      </c>
      <c r="J142" s="2">
        <f t="shared" si="12"/>
        <v>15.289841223080925</v>
      </c>
      <c r="K142" s="1">
        <f t="shared" si="13"/>
        <v>5.1304891904204382E-16</v>
      </c>
      <c r="L142" s="17">
        <f t="shared" si="14"/>
        <v>910.50633826514354</v>
      </c>
    </row>
    <row r="143" spans="1:12" x14ac:dyDescent="0.3">
      <c r="A143" s="4">
        <v>5.01187</v>
      </c>
      <c r="B143" s="5" t="s">
        <v>12</v>
      </c>
      <c r="C143" s="5">
        <v>-10</v>
      </c>
      <c r="D143" s="4">
        <v>915.28</v>
      </c>
      <c r="E143" s="4">
        <v>41.046999999999997</v>
      </c>
      <c r="F143" s="6">
        <v>4.4850000000000001E-2</v>
      </c>
      <c r="G143" s="7">
        <f t="shared" si="10"/>
        <v>0.69999979755458241</v>
      </c>
      <c r="H143" s="1">
        <v>489600000000000</v>
      </c>
      <c r="I143" s="2">
        <f t="shared" si="11"/>
        <v>14.689841409137506</v>
      </c>
      <c r="J143" s="2">
        <f t="shared" si="12"/>
        <v>15.389841206692088</v>
      </c>
      <c r="K143" s="1">
        <f t="shared" si="13"/>
        <v>4.0752925756867283E-16</v>
      </c>
      <c r="L143" s="17">
        <f t="shared" si="14"/>
        <v>916.19994248471767</v>
      </c>
    </row>
    <row r="144" spans="1:12" x14ac:dyDescent="0.3">
      <c r="A144" s="4">
        <v>6.3095800000000004</v>
      </c>
      <c r="B144" s="5" t="s">
        <v>12</v>
      </c>
      <c r="C144" s="5">
        <v>-10</v>
      </c>
      <c r="D144" s="4">
        <v>921.46</v>
      </c>
      <c r="E144" s="4">
        <v>41.421999999999997</v>
      </c>
      <c r="F144" s="6">
        <v>4.4949999999999997E-2</v>
      </c>
      <c r="G144" s="7">
        <f t="shared" si="10"/>
        <v>0.80000045120084495</v>
      </c>
      <c r="H144" s="1">
        <v>489600000000000</v>
      </c>
      <c r="I144" s="2">
        <f t="shared" si="11"/>
        <v>14.689841409137506</v>
      </c>
      <c r="J144" s="2">
        <f t="shared" si="12"/>
        <v>15.48984186033835</v>
      </c>
      <c r="K144" s="1">
        <f t="shared" si="13"/>
        <v>3.2371150855218619E-16</v>
      </c>
      <c r="L144" s="17">
        <f t="shared" si="14"/>
        <v>922.39054292853632</v>
      </c>
    </row>
    <row r="145" spans="1:12" x14ac:dyDescent="0.3">
      <c r="A145" s="4">
        <v>7.9432900000000002</v>
      </c>
      <c r="B145" s="5" t="s">
        <v>12</v>
      </c>
      <c r="C145" s="5">
        <v>-10</v>
      </c>
      <c r="D145" s="4">
        <v>927.34</v>
      </c>
      <c r="E145" s="4">
        <v>41.789000000000001</v>
      </c>
      <c r="F145" s="6">
        <v>4.5060000000000003E-2</v>
      </c>
      <c r="G145" s="7">
        <f t="shared" si="10"/>
        <v>0.90000041840998102</v>
      </c>
      <c r="H145" s="1">
        <v>489600000000000</v>
      </c>
      <c r="I145" s="2">
        <f t="shared" si="11"/>
        <v>14.689841409137506</v>
      </c>
      <c r="J145" s="2">
        <f t="shared" si="12"/>
        <v>15.589841827547486</v>
      </c>
      <c r="K145" s="1">
        <f t="shared" si="13"/>
        <v>2.5713321056271501E-16</v>
      </c>
      <c r="L145" s="17">
        <f t="shared" si="14"/>
        <v>928.28109757820664</v>
      </c>
    </row>
    <row r="146" spans="1:12" x14ac:dyDescent="0.3">
      <c r="A146" s="4">
        <v>10</v>
      </c>
      <c r="B146" s="5" t="s">
        <v>12</v>
      </c>
      <c r="C146" s="5">
        <v>-10</v>
      </c>
      <c r="D146" s="4">
        <v>933.65</v>
      </c>
      <c r="E146" s="4">
        <v>42.039000000000001</v>
      </c>
      <c r="F146" s="6">
        <v>4.5030000000000001E-2</v>
      </c>
      <c r="G146" s="7">
        <f t="shared" si="10"/>
        <v>1</v>
      </c>
      <c r="H146" s="1">
        <v>489600000000000</v>
      </c>
      <c r="I146" s="2">
        <f t="shared" si="11"/>
        <v>14.689841409137506</v>
      </c>
      <c r="J146" s="2">
        <f t="shared" si="12"/>
        <v>15.689841409137506</v>
      </c>
      <c r="K146" s="1">
        <f t="shared" si="13"/>
        <v>2.042483660130706E-16</v>
      </c>
      <c r="L146" s="17">
        <f t="shared" si="14"/>
        <v>934.59595549146263</v>
      </c>
    </row>
    <row r="147" spans="1:12" x14ac:dyDescent="0.3">
      <c r="A147" s="4">
        <v>12.5893</v>
      </c>
      <c r="B147" s="5" t="s">
        <v>12</v>
      </c>
      <c r="C147" s="5">
        <v>-10</v>
      </c>
      <c r="D147" s="4">
        <v>939.58</v>
      </c>
      <c r="E147" s="4">
        <v>42.381999999999998</v>
      </c>
      <c r="F147" s="6">
        <v>4.5109999999999997E-2</v>
      </c>
      <c r="G147" s="7">
        <f t="shared" si="10"/>
        <v>1.1000015828013521</v>
      </c>
      <c r="H147" s="1">
        <v>489600000000000</v>
      </c>
      <c r="I147" s="2">
        <f t="shared" si="11"/>
        <v>14.689841409137506</v>
      </c>
      <c r="J147" s="2">
        <f t="shared" si="12"/>
        <v>15.789842991938858</v>
      </c>
      <c r="K147" s="1">
        <f t="shared" si="13"/>
        <v>1.6223965273134361E-16</v>
      </c>
      <c r="L147" s="17">
        <f t="shared" si="14"/>
        <v>940.5353849398756</v>
      </c>
    </row>
    <row r="148" spans="1:12" x14ac:dyDescent="0.3">
      <c r="A148" s="4">
        <v>15.8489</v>
      </c>
      <c r="B148" s="5" t="s">
        <v>12</v>
      </c>
      <c r="C148" s="5">
        <v>-10</v>
      </c>
      <c r="D148" s="4">
        <v>945.51</v>
      </c>
      <c r="E148" s="4">
        <v>42.673000000000002</v>
      </c>
      <c r="F148" s="6">
        <v>4.5130000000000003E-2</v>
      </c>
      <c r="G148" s="7">
        <f t="shared" si="10"/>
        <v>1.1999991251967967</v>
      </c>
      <c r="H148" s="1">
        <v>489600000000000</v>
      </c>
      <c r="I148" s="2">
        <f t="shared" si="11"/>
        <v>14.689841409137506</v>
      </c>
      <c r="J148" s="2">
        <f t="shared" si="12"/>
        <v>15.889840534334303</v>
      </c>
      <c r="K148" s="1">
        <f t="shared" si="13"/>
        <v>1.2887226622230588E-16</v>
      </c>
      <c r="L148" s="17">
        <f t="shared" si="14"/>
        <v>946.47247452263503</v>
      </c>
    </row>
    <row r="149" spans="1:12" x14ac:dyDescent="0.3">
      <c r="A149" s="4">
        <v>19.9526</v>
      </c>
      <c r="B149" s="5" t="s">
        <v>12</v>
      </c>
      <c r="C149" s="5">
        <v>-10</v>
      </c>
      <c r="D149" s="4">
        <v>951.62</v>
      </c>
      <c r="E149" s="4">
        <v>43.32</v>
      </c>
      <c r="F149" s="6">
        <v>4.5519999999999998E-2</v>
      </c>
      <c r="G149" s="7">
        <f t="shared" si="10"/>
        <v>1.2999994961169838</v>
      </c>
      <c r="H149" s="1">
        <v>489600000000000</v>
      </c>
      <c r="I149" s="2">
        <f t="shared" si="11"/>
        <v>14.689841409137506</v>
      </c>
      <c r="J149" s="2">
        <f t="shared" si="12"/>
        <v>15.989840905254489</v>
      </c>
      <c r="K149" s="1">
        <f t="shared" si="13"/>
        <v>1.0236679230429694E-16</v>
      </c>
      <c r="L149" s="17">
        <f t="shared" si="14"/>
        <v>952.60550428810768</v>
      </c>
    </row>
    <row r="150" spans="1:12" x14ac:dyDescent="0.3">
      <c r="A150" s="4">
        <v>25.1189</v>
      </c>
      <c r="B150" s="5" t="s">
        <v>12</v>
      </c>
      <c r="C150" s="5">
        <v>-10</v>
      </c>
      <c r="D150" s="4">
        <v>957.67</v>
      </c>
      <c r="E150" s="4">
        <v>43.58</v>
      </c>
      <c r="F150" s="6">
        <v>4.5510000000000002E-2</v>
      </c>
      <c r="G150" s="7">
        <f t="shared" si="10"/>
        <v>1.4000006169763799</v>
      </c>
      <c r="H150" s="1">
        <v>489600000000000</v>
      </c>
      <c r="I150" s="2">
        <f t="shared" si="11"/>
        <v>14.689841409137506</v>
      </c>
      <c r="J150" s="2">
        <f t="shared" si="12"/>
        <v>16.089842026113885</v>
      </c>
      <c r="K150" s="1">
        <f t="shared" si="13"/>
        <v>8.1312623567541334E-17</v>
      </c>
      <c r="L150" s="17">
        <f t="shared" si="14"/>
        <v>958.66106904369497</v>
      </c>
    </row>
    <row r="151" spans="1:12" x14ac:dyDescent="0.3">
      <c r="A151" s="4">
        <v>31.622800000000002</v>
      </c>
      <c r="B151" s="5" t="s">
        <v>12</v>
      </c>
      <c r="C151" s="5">
        <v>-10</v>
      </c>
      <c r="D151" s="4">
        <v>963.81</v>
      </c>
      <c r="E151" s="4">
        <v>44.341000000000001</v>
      </c>
      <c r="F151" s="6">
        <v>4.6010000000000002E-2</v>
      </c>
      <c r="G151" s="7">
        <f t="shared" si="10"/>
        <v>1.5000003213429354</v>
      </c>
      <c r="H151" s="1">
        <v>489600000000000</v>
      </c>
      <c r="I151" s="2">
        <f t="shared" si="11"/>
        <v>14.689841409137506</v>
      </c>
      <c r="J151" s="2">
        <f t="shared" si="12"/>
        <v>16.189841730480442</v>
      </c>
      <c r="K151" s="1">
        <f t="shared" si="13"/>
        <v>6.4588956706259604E-17</v>
      </c>
      <c r="L151" s="17">
        <f t="shared" si="14"/>
        <v>964.82943590097818</v>
      </c>
    </row>
    <row r="152" spans="1:12" x14ac:dyDescent="0.3">
      <c r="A152" s="4">
        <v>39.810699999999997</v>
      </c>
      <c r="B152" s="5" t="s">
        <v>12</v>
      </c>
      <c r="C152" s="5">
        <v>-10</v>
      </c>
      <c r="D152" s="4">
        <v>970.28</v>
      </c>
      <c r="E152" s="4">
        <v>44.863999999999997</v>
      </c>
      <c r="F152" s="6">
        <v>4.6240000000000003E-2</v>
      </c>
      <c r="G152" s="7">
        <f t="shared" si="10"/>
        <v>1.5999998139434199</v>
      </c>
      <c r="H152" s="1">
        <v>489600000000000</v>
      </c>
      <c r="I152" s="2">
        <f t="shared" si="11"/>
        <v>14.689841409137506</v>
      </c>
      <c r="J152" s="2">
        <f t="shared" si="12"/>
        <v>16.289841223080927</v>
      </c>
      <c r="K152" s="1">
        <f t="shared" si="13"/>
        <v>5.1304891904204139E-17</v>
      </c>
      <c r="L152" s="17">
        <f t="shared" si="14"/>
        <v>971.31666149407727</v>
      </c>
    </row>
    <row r="153" spans="1:12" x14ac:dyDescent="0.3">
      <c r="A153" s="4">
        <v>50.1188</v>
      </c>
      <c r="B153" s="5" t="s">
        <v>12</v>
      </c>
      <c r="C153" s="5">
        <v>-10</v>
      </c>
      <c r="D153" s="4">
        <v>976.54</v>
      </c>
      <c r="E153" s="4">
        <v>45.317</v>
      </c>
      <c r="F153" s="6">
        <v>4.641E-2</v>
      </c>
      <c r="G153" s="7">
        <f t="shared" si="10"/>
        <v>1.7000006640855352</v>
      </c>
      <c r="H153" s="1">
        <v>489600000000000</v>
      </c>
      <c r="I153" s="2">
        <f t="shared" si="11"/>
        <v>14.689841409137506</v>
      </c>
      <c r="J153" s="2">
        <f t="shared" si="12"/>
        <v>16.38984207322304</v>
      </c>
      <c r="K153" s="1">
        <f t="shared" si="13"/>
        <v>4.0752844444214904E-17</v>
      </c>
      <c r="L153" s="17">
        <f t="shared" si="14"/>
        <v>977.59091755652071</v>
      </c>
    </row>
    <row r="154" spans="1:12" x14ac:dyDescent="0.3">
      <c r="A154" s="4">
        <v>63.095799999999997</v>
      </c>
      <c r="B154" s="5" t="s">
        <v>12</v>
      </c>
      <c r="C154" s="5">
        <v>-10</v>
      </c>
      <c r="D154" s="4">
        <v>982.81</v>
      </c>
      <c r="E154" s="4">
        <v>45.585999999999999</v>
      </c>
      <c r="F154" s="6">
        <v>4.6379999999999998E-2</v>
      </c>
      <c r="G154" s="7">
        <f t="shared" si="10"/>
        <v>1.800000451200845</v>
      </c>
      <c r="H154" s="1">
        <v>489600000000000</v>
      </c>
      <c r="I154" s="2">
        <f t="shared" si="11"/>
        <v>14.689841409137506</v>
      </c>
      <c r="J154" s="2">
        <f t="shared" si="12"/>
        <v>16.489841860338352</v>
      </c>
      <c r="K154" s="1">
        <f t="shared" si="13"/>
        <v>3.2371150855218706E-17</v>
      </c>
      <c r="L154" s="17">
        <f t="shared" si="14"/>
        <v>983.86664721190743</v>
      </c>
    </row>
    <row r="155" spans="1:12" x14ac:dyDescent="0.3">
      <c r="A155" s="4">
        <v>79.432900000000004</v>
      </c>
      <c r="B155" s="5" t="s">
        <v>12</v>
      </c>
      <c r="C155" s="5">
        <v>-10</v>
      </c>
      <c r="D155" s="4">
        <v>989.03</v>
      </c>
      <c r="E155" s="4">
        <v>46.27</v>
      </c>
      <c r="F155" s="6">
        <v>4.6780000000000002E-2</v>
      </c>
      <c r="G155" s="7">
        <f t="shared" si="10"/>
        <v>1.900000418409981</v>
      </c>
      <c r="H155" s="1">
        <v>489600000000000</v>
      </c>
      <c r="I155" s="2">
        <f t="shared" si="11"/>
        <v>14.689841409137506</v>
      </c>
      <c r="J155" s="2">
        <f t="shared" si="12"/>
        <v>16.589841827547488</v>
      </c>
      <c r="K155" s="1">
        <f t="shared" si="13"/>
        <v>2.5713321056271378E-17</v>
      </c>
      <c r="L155" s="17">
        <f t="shared" si="14"/>
        <v>990.11173803768224</v>
      </c>
    </row>
    <row r="156" spans="1:12" x14ac:dyDescent="0.3">
      <c r="A156" s="4">
        <v>100</v>
      </c>
      <c r="B156" s="5" t="s">
        <v>12</v>
      </c>
      <c r="C156" s="5">
        <v>-10</v>
      </c>
      <c r="D156" s="4">
        <v>994.88</v>
      </c>
      <c r="E156" s="4">
        <v>46.290999999999997</v>
      </c>
      <c r="F156" s="6">
        <v>4.6530000000000002E-2</v>
      </c>
      <c r="G156" s="7">
        <f t="shared" si="10"/>
        <v>2</v>
      </c>
      <c r="H156" s="1">
        <v>489600000000000</v>
      </c>
      <c r="I156" s="2">
        <f t="shared" si="11"/>
        <v>14.689841409137506</v>
      </c>
      <c r="J156" s="2">
        <f t="shared" si="12"/>
        <v>16.689841409137507</v>
      </c>
      <c r="K156" s="1">
        <f t="shared" si="13"/>
        <v>2.0424836601306963E-17</v>
      </c>
      <c r="L156" s="17">
        <f t="shared" si="14"/>
        <v>995.95636002839001</v>
      </c>
    </row>
    <row r="157" spans="1:12" x14ac:dyDescent="0.3">
      <c r="A157" s="9">
        <v>0.1</v>
      </c>
      <c r="B157" s="10" t="s">
        <v>13</v>
      </c>
      <c r="C157" s="5">
        <v>0</v>
      </c>
      <c r="D157" s="9">
        <v>731.61</v>
      </c>
      <c r="E157" s="9">
        <v>46.314</v>
      </c>
      <c r="F157" s="11">
        <v>6.3299999999999995E-2</v>
      </c>
      <c r="G157" s="12">
        <f t="shared" si="10"/>
        <v>-1</v>
      </c>
      <c r="H157" s="1">
        <v>12008448000000</v>
      </c>
      <c r="I157" s="2">
        <f t="shared" si="11"/>
        <v>13.079486881791722</v>
      </c>
      <c r="J157" s="2">
        <f t="shared" si="12"/>
        <v>12.079486881791722</v>
      </c>
      <c r="K157" s="1">
        <f t="shared" si="13"/>
        <v>8.3274707938944027E-13</v>
      </c>
      <c r="L157" s="17">
        <f t="shared" si="14"/>
        <v>733.07447008881707</v>
      </c>
    </row>
    <row r="158" spans="1:12" x14ac:dyDescent="0.3">
      <c r="A158" s="9">
        <v>0.12589</v>
      </c>
      <c r="B158" s="10" t="s">
        <v>13</v>
      </c>
      <c r="C158" s="5">
        <v>0</v>
      </c>
      <c r="D158" s="9">
        <v>740.96</v>
      </c>
      <c r="E158" s="9">
        <v>41.887</v>
      </c>
      <c r="F158" s="11">
        <v>5.6529999999999997E-2</v>
      </c>
      <c r="G158" s="12">
        <f t="shared" si="10"/>
        <v>-0.90000876645531558</v>
      </c>
      <c r="H158" s="1">
        <v>12008448000000</v>
      </c>
      <c r="I158" s="2">
        <f t="shared" si="11"/>
        <v>13.079486881791722</v>
      </c>
      <c r="J158" s="2">
        <f t="shared" si="12"/>
        <v>12.179478115336407</v>
      </c>
      <c r="K158" s="1">
        <f t="shared" si="13"/>
        <v>6.6148786987802134E-13</v>
      </c>
      <c r="L158" s="17">
        <f t="shared" si="14"/>
        <v>742.14300668334818</v>
      </c>
    </row>
    <row r="159" spans="1:12" x14ac:dyDescent="0.3">
      <c r="A159" s="9">
        <v>0.15848999999999999</v>
      </c>
      <c r="B159" s="10" t="s">
        <v>13</v>
      </c>
      <c r="C159" s="5">
        <v>0</v>
      </c>
      <c r="D159" s="9">
        <v>748.42</v>
      </c>
      <c r="E159" s="9">
        <v>39.655000000000001</v>
      </c>
      <c r="F159" s="11">
        <v>5.2990000000000002E-2</v>
      </c>
      <c r="G159" s="12">
        <f t="shared" si="10"/>
        <v>-0.79999813459339819</v>
      </c>
      <c r="H159" s="1">
        <v>12008448000000</v>
      </c>
      <c r="I159" s="2">
        <f t="shared" si="11"/>
        <v>13.079486881791722</v>
      </c>
      <c r="J159" s="2">
        <f t="shared" si="12"/>
        <v>12.279488747198323</v>
      </c>
      <c r="K159" s="1">
        <f t="shared" si="13"/>
        <v>5.2542562899201343E-13</v>
      </c>
      <c r="L159" s="17">
        <f t="shared" si="14"/>
        <v>749.46982289148912</v>
      </c>
    </row>
    <row r="160" spans="1:12" x14ac:dyDescent="0.3">
      <c r="A160" s="9">
        <v>0.19953000000000001</v>
      </c>
      <c r="B160" s="10" t="s">
        <v>13</v>
      </c>
      <c r="C160" s="5">
        <v>0</v>
      </c>
      <c r="D160" s="9">
        <v>756.15</v>
      </c>
      <c r="E160" s="9">
        <v>38.406999999999996</v>
      </c>
      <c r="F160" s="11">
        <v>5.0790000000000002E-2</v>
      </c>
      <c r="G160" s="12">
        <f t="shared" si="10"/>
        <v>-0.69999179744618689</v>
      </c>
      <c r="H160" s="1">
        <v>12008448000000</v>
      </c>
      <c r="I160" s="2">
        <f t="shared" si="11"/>
        <v>13.079486881791722</v>
      </c>
      <c r="J160" s="2">
        <f t="shared" si="12"/>
        <v>12.379495084345535</v>
      </c>
      <c r="K160" s="1">
        <f t="shared" si="13"/>
        <v>4.1735432235224768E-13</v>
      </c>
      <c r="L160" s="17">
        <f t="shared" si="14"/>
        <v>757.12477185005639</v>
      </c>
    </row>
    <row r="161" spans="1:12" x14ac:dyDescent="0.3">
      <c r="A161" s="9">
        <v>0.25119000000000002</v>
      </c>
      <c r="B161" s="10" t="s">
        <v>13</v>
      </c>
      <c r="C161" s="5">
        <v>0</v>
      </c>
      <c r="D161" s="9">
        <v>762.73</v>
      </c>
      <c r="E161" s="9">
        <v>37.722000000000001</v>
      </c>
      <c r="F161" s="11">
        <v>4.9459999999999997E-2</v>
      </c>
      <c r="G161" s="12">
        <f t="shared" si="10"/>
        <v>-0.59999765407204408</v>
      </c>
      <c r="H161" s="1">
        <v>12008448000000</v>
      </c>
      <c r="I161" s="2">
        <f t="shared" si="11"/>
        <v>13.079486881791722</v>
      </c>
      <c r="J161" s="2">
        <f t="shared" si="12"/>
        <v>12.479489227719677</v>
      </c>
      <c r="K161" s="1">
        <f t="shared" si="13"/>
        <v>3.3152079278213344E-13</v>
      </c>
      <c r="L161" s="17">
        <f t="shared" si="14"/>
        <v>763.66223042913418</v>
      </c>
    </row>
    <row r="162" spans="1:12" x14ac:dyDescent="0.3">
      <c r="A162" s="9">
        <v>0.31623000000000001</v>
      </c>
      <c r="B162" s="10" t="s">
        <v>13</v>
      </c>
      <c r="C162" s="5">
        <v>0</v>
      </c>
      <c r="D162" s="9">
        <v>768.71</v>
      </c>
      <c r="E162" s="9">
        <v>37.323</v>
      </c>
      <c r="F162" s="11">
        <v>4.8550000000000003E-2</v>
      </c>
      <c r="G162" s="12">
        <f t="shared" si="10"/>
        <v>-0.4999969319483068</v>
      </c>
      <c r="H162" s="1">
        <v>12008448000000</v>
      </c>
      <c r="I162" s="2">
        <f t="shared" si="11"/>
        <v>13.079486881791722</v>
      </c>
      <c r="J162" s="2">
        <f t="shared" si="12"/>
        <v>12.579489949843415</v>
      </c>
      <c r="K162" s="1">
        <f t="shared" si="13"/>
        <v>2.6333588824255754E-13</v>
      </c>
      <c r="L162" s="17">
        <f t="shared" si="14"/>
        <v>769.61553416559889</v>
      </c>
    </row>
    <row r="163" spans="1:12" x14ac:dyDescent="0.3">
      <c r="A163" s="9">
        <v>0.39811000000000002</v>
      </c>
      <c r="B163" s="10" t="s">
        <v>13</v>
      </c>
      <c r="C163" s="5">
        <v>0</v>
      </c>
      <c r="D163" s="9">
        <v>774.76</v>
      </c>
      <c r="E163" s="9">
        <v>36.661999999999999</v>
      </c>
      <c r="F163" s="11">
        <v>4.7320000000000001E-2</v>
      </c>
      <c r="G163" s="12">
        <f t="shared" si="10"/>
        <v>-0.39999691337225962</v>
      </c>
      <c r="H163" s="1">
        <v>12008448000000</v>
      </c>
      <c r="I163" s="2">
        <f t="shared" si="11"/>
        <v>13.079486881791722</v>
      </c>
      <c r="J163" s="2">
        <f t="shared" si="12"/>
        <v>12.679489968419462</v>
      </c>
      <c r="K163" s="1">
        <f t="shared" si="13"/>
        <v>2.091751223002289E-13</v>
      </c>
      <c r="L163" s="17">
        <f t="shared" si="14"/>
        <v>775.62694631117597</v>
      </c>
    </row>
    <row r="164" spans="1:12" x14ac:dyDescent="0.3">
      <c r="A164" s="9">
        <v>0.50119000000000002</v>
      </c>
      <c r="B164" s="10" t="s">
        <v>13</v>
      </c>
      <c r="C164" s="5">
        <v>0</v>
      </c>
      <c r="D164" s="9">
        <v>780.25</v>
      </c>
      <c r="E164" s="9">
        <v>36.237000000000002</v>
      </c>
      <c r="F164" s="11">
        <v>4.6440000000000002E-2</v>
      </c>
      <c r="G164" s="12">
        <f t="shared" si="10"/>
        <v>-0.29999760285774607</v>
      </c>
      <c r="H164" s="1">
        <v>12008448000000</v>
      </c>
      <c r="I164" s="2">
        <f t="shared" si="11"/>
        <v>13.079486881791722</v>
      </c>
      <c r="J164" s="2">
        <f t="shared" si="12"/>
        <v>12.779489278933976</v>
      </c>
      <c r="K164" s="1">
        <f t="shared" si="13"/>
        <v>1.6615396943064267E-13</v>
      </c>
      <c r="L164" s="17">
        <f t="shared" si="14"/>
        <v>781.09102073253916</v>
      </c>
    </row>
    <row r="165" spans="1:12" x14ac:dyDescent="0.3">
      <c r="A165" s="9">
        <v>0.63095999999999997</v>
      </c>
      <c r="B165" s="10" t="s">
        <v>13</v>
      </c>
      <c r="C165" s="5">
        <v>0</v>
      </c>
      <c r="D165" s="9">
        <v>785.71</v>
      </c>
      <c r="E165" s="9">
        <v>35.728999999999999</v>
      </c>
      <c r="F165" s="11">
        <v>4.5469999999999997E-2</v>
      </c>
      <c r="G165" s="12">
        <f t="shared" si="10"/>
        <v>-0.19999817218203128</v>
      </c>
      <c r="H165" s="1">
        <v>12008448000000</v>
      </c>
      <c r="I165" s="2">
        <f t="shared" si="11"/>
        <v>13.079486881791722</v>
      </c>
      <c r="J165" s="2">
        <f t="shared" si="12"/>
        <v>12.87948870960969</v>
      </c>
      <c r="K165" s="1">
        <f t="shared" si="13"/>
        <v>1.3198096224632953E-13</v>
      </c>
      <c r="L165" s="17">
        <f t="shared" si="14"/>
        <v>786.52194218661191</v>
      </c>
    </row>
    <row r="166" spans="1:12" x14ac:dyDescent="0.3">
      <c r="A166" s="9">
        <v>0.79432999999999998</v>
      </c>
      <c r="B166" s="10" t="s">
        <v>13</v>
      </c>
      <c r="C166" s="5">
        <v>0</v>
      </c>
      <c r="D166" s="9">
        <v>790.95</v>
      </c>
      <c r="E166" s="9">
        <v>35.441000000000003</v>
      </c>
      <c r="F166" s="11">
        <v>4.4810000000000003E-2</v>
      </c>
      <c r="G166" s="12">
        <f t="shared" si="10"/>
        <v>-9.9999034846530471E-2</v>
      </c>
      <c r="H166" s="1">
        <v>12008448000000</v>
      </c>
      <c r="I166" s="2">
        <f t="shared" si="11"/>
        <v>13.079486881791722</v>
      </c>
      <c r="J166" s="2">
        <f t="shared" si="12"/>
        <v>12.979487846945192</v>
      </c>
      <c r="K166" s="1">
        <f t="shared" si="13"/>
        <v>1.048364130008232E-13</v>
      </c>
      <c r="L166" s="17">
        <f t="shared" si="14"/>
        <v>791.74362452816763</v>
      </c>
    </row>
    <row r="167" spans="1:12" x14ac:dyDescent="0.3">
      <c r="A167" s="9">
        <v>1</v>
      </c>
      <c r="B167" s="10" t="s">
        <v>13</v>
      </c>
      <c r="C167" s="5">
        <v>0</v>
      </c>
      <c r="D167" s="9">
        <v>796.16</v>
      </c>
      <c r="E167" s="9">
        <v>35.491999999999997</v>
      </c>
      <c r="F167" s="11">
        <v>4.4580000000000002E-2</v>
      </c>
      <c r="G167" s="12">
        <f t="shared" si="10"/>
        <v>0</v>
      </c>
      <c r="H167" s="1">
        <v>12008448000000</v>
      </c>
      <c r="I167" s="2">
        <f t="shared" si="11"/>
        <v>13.079486881791722</v>
      </c>
      <c r="J167" s="2">
        <f t="shared" si="12"/>
        <v>13.079486881791722</v>
      </c>
      <c r="K167" s="1">
        <f t="shared" si="13"/>
        <v>8.3274707938943939E-14</v>
      </c>
      <c r="L167" s="17">
        <f t="shared" si="14"/>
        <v>796.95070591850276</v>
      </c>
    </row>
    <row r="168" spans="1:12" x14ac:dyDescent="0.3">
      <c r="A168" s="9">
        <v>1.2589300000000001</v>
      </c>
      <c r="B168" s="10" t="s">
        <v>13</v>
      </c>
      <c r="C168" s="5">
        <v>0</v>
      </c>
      <c r="D168" s="9">
        <v>801.35</v>
      </c>
      <c r="E168" s="9">
        <v>35.225000000000001</v>
      </c>
      <c r="F168" s="11">
        <v>4.3959999999999999E-2</v>
      </c>
      <c r="G168" s="12">
        <f t="shared" si="10"/>
        <v>0.10000158280135207</v>
      </c>
      <c r="H168" s="1">
        <v>12008448000000</v>
      </c>
      <c r="I168" s="2">
        <f t="shared" si="11"/>
        <v>13.079486881791722</v>
      </c>
      <c r="J168" s="2">
        <f t="shared" si="12"/>
        <v>13.179488464593074</v>
      </c>
      <c r="K168" s="1">
        <f t="shared" si="13"/>
        <v>6.6147210678070956E-14</v>
      </c>
      <c r="L168" s="17">
        <f t="shared" si="14"/>
        <v>802.12382032015489</v>
      </c>
    </row>
    <row r="169" spans="1:12" x14ac:dyDescent="0.3">
      <c r="A169" s="9">
        <v>1.5848899999999999</v>
      </c>
      <c r="B169" s="10" t="s">
        <v>13</v>
      </c>
      <c r="C169" s="5">
        <v>0</v>
      </c>
      <c r="D169" s="9">
        <v>806.57</v>
      </c>
      <c r="E169" s="9">
        <v>35.017000000000003</v>
      </c>
      <c r="F169" s="11">
        <v>4.342E-2</v>
      </c>
      <c r="G169" s="12">
        <f t="shared" si="10"/>
        <v>0.19999912519679666</v>
      </c>
      <c r="H169" s="1">
        <v>12008448000000</v>
      </c>
      <c r="I169" s="2">
        <f t="shared" si="11"/>
        <v>13.079486881791722</v>
      </c>
      <c r="J169" s="2">
        <f t="shared" si="12"/>
        <v>13.279486006988519</v>
      </c>
      <c r="K169" s="1">
        <f t="shared" si="13"/>
        <v>5.254289442102867E-14</v>
      </c>
      <c r="L169" s="17">
        <f t="shared" si="14"/>
        <v>807.32976855124082</v>
      </c>
    </row>
    <row r="170" spans="1:12" x14ac:dyDescent="0.3">
      <c r="A170" s="9">
        <v>1.99526</v>
      </c>
      <c r="B170" s="10" t="s">
        <v>13</v>
      </c>
      <c r="C170" s="5">
        <v>0</v>
      </c>
      <c r="D170" s="9">
        <v>811.49</v>
      </c>
      <c r="E170" s="9">
        <v>35.014000000000003</v>
      </c>
      <c r="F170" s="11">
        <v>4.3150000000000001E-2</v>
      </c>
      <c r="G170" s="12">
        <f t="shared" si="10"/>
        <v>0.29999949611698379</v>
      </c>
      <c r="H170" s="1">
        <v>12008448000000</v>
      </c>
      <c r="I170" s="2">
        <f t="shared" si="11"/>
        <v>13.079486881791722</v>
      </c>
      <c r="J170" s="2">
        <f t="shared" si="12"/>
        <v>13.379486377908705</v>
      </c>
      <c r="K170" s="1">
        <f t="shared" si="13"/>
        <v>4.1736268926828592E-14</v>
      </c>
      <c r="L170" s="17">
        <f t="shared" si="14"/>
        <v>812.2450371014894</v>
      </c>
    </row>
    <row r="171" spans="1:12" x14ac:dyDescent="0.3">
      <c r="A171" s="9">
        <v>2.5118900000000002</v>
      </c>
      <c r="B171" s="10" t="s">
        <v>13</v>
      </c>
      <c r="C171" s="5">
        <v>0</v>
      </c>
      <c r="D171" s="9">
        <v>816.53</v>
      </c>
      <c r="E171" s="9">
        <v>34.353999999999999</v>
      </c>
      <c r="F171" s="11">
        <v>4.2070000000000003E-2</v>
      </c>
      <c r="G171" s="12">
        <f t="shared" si="10"/>
        <v>0.40000061697637995</v>
      </c>
      <c r="H171" s="1">
        <v>12008448000000</v>
      </c>
      <c r="I171" s="2">
        <f t="shared" si="11"/>
        <v>13.079486881791722</v>
      </c>
      <c r="J171" s="2">
        <f t="shared" si="12"/>
        <v>13.479487498768101</v>
      </c>
      <c r="K171" s="1">
        <f t="shared" si="13"/>
        <v>3.3152211258830592E-14</v>
      </c>
      <c r="L171" s="17">
        <f t="shared" si="14"/>
        <v>817.25237119019732</v>
      </c>
    </row>
    <row r="172" spans="1:12" x14ac:dyDescent="0.3">
      <c r="A172" s="9">
        <v>3.16228</v>
      </c>
      <c r="B172" s="10" t="s">
        <v>13</v>
      </c>
      <c r="C172" s="5">
        <v>0</v>
      </c>
      <c r="D172" s="9">
        <v>821.5</v>
      </c>
      <c r="E172" s="9">
        <v>34.384999999999998</v>
      </c>
      <c r="F172" s="11">
        <v>4.1860000000000001E-2</v>
      </c>
      <c r="G172" s="12">
        <f t="shared" si="10"/>
        <v>0.50000032134293526</v>
      </c>
      <c r="H172" s="1">
        <v>12008448000000</v>
      </c>
      <c r="I172" s="2">
        <f t="shared" si="11"/>
        <v>13.079486881791722</v>
      </c>
      <c r="J172" s="2">
        <f t="shared" si="12"/>
        <v>13.579487203134656</v>
      </c>
      <c r="K172" s="1">
        <f t="shared" si="13"/>
        <v>2.6333755372371907E-14</v>
      </c>
      <c r="L172" s="17">
        <f t="shared" si="14"/>
        <v>822.2193005670689</v>
      </c>
    </row>
    <row r="173" spans="1:12" x14ac:dyDescent="0.3">
      <c r="A173" s="9">
        <v>3.9810699999999999</v>
      </c>
      <c r="B173" s="10" t="s">
        <v>13</v>
      </c>
      <c r="C173" s="5">
        <v>0</v>
      </c>
      <c r="D173" s="9">
        <v>826.66</v>
      </c>
      <c r="E173" s="9">
        <v>34.343000000000004</v>
      </c>
      <c r="F173" s="11">
        <v>4.1540000000000001E-2</v>
      </c>
      <c r="G173" s="12">
        <f t="shared" si="10"/>
        <v>0.59999981394342006</v>
      </c>
      <c r="H173" s="1">
        <v>12008448000000</v>
      </c>
      <c r="I173" s="2">
        <f t="shared" si="11"/>
        <v>13.079486881791722</v>
      </c>
      <c r="J173" s="2">
        <f t="shared" si="12"/>
        <v>13.679486695735141</v>
      </c>
      <c r="K173" s="1">
        <f t="shared" si="13"/>
        <v>2.091766985733591E-14</v>
      </c>
      <c r="L173" s="17">
        <f t="shared" si="14"/>
        <v>827.3730701739089</v>
      </c>
    </row>
    <row r="174" spans="1:12" x14ac:dyDescent="0.3">
      <c r="A174" s="9">
        <v>5.01187</v>
      </c>
      <c r="B174" s="10" t="s">
        <v>13</v>
      </c>
      <c r="C174" s="5">
        <v>0</v>
      </c>
      <c r="D174" s="9">
        <v>831.25</v>
      </c>
      <c r="E174" s="9">
        <v>34.469000000000001</v>
      </c>
      <c r="F174" s="11">
        <v>4.147E-2</v>
      </c>
      <c r="G174" s="12">
        <f t="shared" si="10"/>
        <v>0.69999979755458241</v>
      </c>
      <c r="H174" s="1">
        <v>12008448000000</v>
      </c>
      <c r="I174" s="2">
        <f t="shared" si="11"/>
        <v>13.079486881791722</v>
      </c>
      <c r="J174" s="2">
        <f t="shared" si="12"/>
        <v>13.779486679346304</v>
      </c>
      <c r="K174" s="1">
        <f t="shared" si="13"/>
        <v>1.6615496399336791E-14</v>
      </c>
      <c r="L174" s="17">
        <f t="shared" si="14"/>
        <v>831.96434686890279</v>
      </c>
    </row>
    <row r="175" spans="1:12" x14ac:dyDescent="0.3">
      <c r="A175" s="9">
        <v>6.3095800000000004</v>
      </c>
      <c r="B175" s="10" t="s">
        <v>13</v>
      </c>
      <c r="C175" s="5">
        <v>0</v>
      </c>
      <c r="D175" s="9">
        <v>836.17</v>
      </c>
      <c r="E175" s="9">
        <v>34.518000000000001</v>
      </c>
      <c r="F175" s="11">
        <v>4.1279999999999997E-2</v>
      </c>
      <c r="G175" s="12">
        <f t="shared" si="10"/>
        <v>0.80000045120084495</v>
      </c>
      <c r="H175" s="1">
        <v>12008448000000</v>
      </c>
      <c r="I175" s="2">
        <f t="shared" si="11"/>
        <v>13.079486881791722</v>
      </c>
      <c r="J175" s="2">
        <f t="shared" si="12"/>
        <v>13.879487332992566</v>
      </c>
      <c r="K175" s="1">
        <f t="shared" si="13"/>
        <v>1.3198138059735201E-14</v>
      </c>
      <c r="L175" s="17">
        <f t="shared" si="14"/>
        <v>836.88216686938665</v>
      </c>
    </row>
    <row r="176" spans="1:12" x14ac:dyDescent="0.3">
      <c r="A176" s="9">
        <v>7.9432900000000002</v>
      </c>
      <c r="B176" s="10" t="s">
        <v>13</v>
      </c>
      <c r="C176" s="5">
        <v>0</v>
      </c>
      <c r="D176" s="9">
        <v>840.95</v>
      </c>
      <c r="E176" s="9">
        <v>34.706000000000003</v>
      </c>
      <c r="F176" s="11">
        <v>4.1270000000000001E-2</v>
      </c>
      <c r="G176" s="12">
        <f t="shared" si="10"/>
        <v>0.90000041840998102</v>
      </c>
      <c r="H176" s="1">
        <v>12008448000000</v>
      </c>
      <c r="I176" s="2">
        <f t="shared" si="11"/>
        <v>13.079486881791722</v>
      </c>
      <c r="J176" s="2">
        <f t="shared" si="12"/>
        <v>13.979487300201702</v>
      </c>
      <c r="K176" s="1">
        <f t="shared" si="13"/>
        <v>1.0483654498192088E-14</v>
      </c>
      <c r="L176" s="17">
        <f t="shared" si="14"/>
        <v>841.66585349294053</v>
      </c>
    </row>
    <row r="177" spans="1:12" x14ac:dyDescent="0.3">
      <c r="A177" s="9">
        <v>10</v>
      </c>
      <c r="B177" s="10" t="s">
        <v>13</v>
      </c>
      <c r="C177" s="5">
        <v>0</v>
      </c>
      <c r="D177" s="9">
        <v>846.1</v>
      </c>
      <c r="E177" s="9">
        <v>34.811</v>
      </c>
      <c r="F177" s="11">
        <v>4.1140000000000003E-2</v>
      </c>
      <c r="G177" s="12">
        <f t="shared" si="10"/>
        <v>1</v>
      </c>
      <c r="H177" s="1">
        <v>12008448000000</v>
      </c>
      <c r="I177" s="2">
        <f t="shared" si="11"/>
        <v>13.079486881791722</v>
      </c>
      <c r="J177" s="2">
        <f t="shared" si="12"/>
        <v>14.079486881791722</v>
      </c>
      <c r="K177" s="1">
        <f t="shared" si="13"/>
        <v>8.3274707938944125E-15</v>
      </c>
      <c r="L177" s="17">
        <f t="shared" si="14"/>
        <v>846.81580979632167</v>
      </c>
    </row>
    <row r="178" spans="1:12" x14ac:dyDescent="0.3">
      <c r="A178" s="9">
        <v>12.5893</v>
      </c>
      <c r="B178" s="10" t="s">
        <v>13</v>
      </c>
      <c r="C178" s="5">
        <v>0</v>
      </c>
      <c r="D178" s="9">
        <v>851.16</v>
      </c>
      <c r="E178" s="9">
        <v>34.935000000000002</v>
      </c>
      <c r="F178" s="11">
        <v>4.104E-2</v>
      </c>
      <c r="G178" s="12">
        <f t="shared" si="10"/>
        <v>1.1000015828013521</v>
      </c>
      <c r="H178" s="1">
        <v>12008448000000</v>
      </c>
      <c r="I178" s="2">
        <f t="shared" si="11"/>
        <v>13.079486881791722</v>
      </c>
      <c r="J178" s="2">
        <f t="shared" si="12"/>
        <v>14.179488464593074</v>
      </c>
      <c r="K178" s="1">
        <f t="shared" si="13"/>
        <v>6.6147210678071104E-15</v>
      </c>
      <c r="L178" s="17">
        <f t="shared" si="14"/>
        <v>851.87663415837392</v>
      </c>
    </row>
    <row r="179" spans="1:12" x14ac:dyDescent="0.3">
      <c r="A179" s="9">
        <v>15.8489</v>
      </c>
      <c r="B179" s="10" t="s">
        <v>13</v>
      </c>
      <c r="C179" s="5">
        <v>0</v>
      </c>
      <c r="D179" s="9">
        <v>855.92</v>
      </c>
      <c r="E179" s="9">
        <v>35.131</v>
      </c>
      <c r="F179" s="11">
        <v>4.104E-2</v>
      </c>
      <c r="G179" s="12">
        <f t="shared" si="10"/>
        <v>1.1999991251967967</v>
      </c>
      <c r="H179" s="1">
        <v>12008448000000</v>
      </c>
      <c r="I179" s="2">
        <f t="shared" si="11"/>
        <v>13.079486881791722</v>
      </c>
      <c r="J179" s="2">
        <f t="shared" si="12"/>
        <v>14.279486006988519</v>
      </c>
      <c r="K179" s="1">
        <f t="shared" si="13"/>
        <v>5.2542894421028615E-15</v>
      </c>
      <c r="L179" s="17">
        <f t="shared" si="14"/>
        <v>856.6406677020417</v>
      </c>
    </row>
    <row r="180" spans="1:12" x14ac:dyDescent="0.3">
      <c r="A180" s="9">
        <v>19.9526</v>
      </c>
      <c r="B180" s="10" t="s">
        <v>13</v>
      </c>
      <c r="C180" s="5">
        <v>0</v>
      </c>
      <c r="D180" s="9">
        <v>860.88</v>
      </c>
      <c r="E180" s="9">
        <v>35.447000000000003</v>
      </c>
      <c r="F180" s="11">
        <v>4.1180000000000001E-2</v>
      </c>
      <c r="G180" s="12">
        <f t="shared" si="10"/>
        <v>1.2999994961169838</v>
      </c>
      <c r="H180" s="1">
        <v>12008448000000</v>
      </c>
      <c r="I180" s="2">
        <f t="shared" si="11"/>
        <v>13.079486881791722</v>
      </c>
      <c r="J180" s="2">
        <f t="shared" si="12"/>
        <v>14.379486377908705</v>
      </c>
      <c r="K180" s="1">
        <f t="shared" si="13"/>
        <v>4.1736268926828549E-15</v>
      </c>
      <c r="L180" s="17">
        <f t="shared" si="14"/>
        <v>861.60946153637383</v>
      </c>
    </row>
    <row r="181" spans="1:12" x14ac:dyDescent="0.3">
      <c r="A181" s="9">
        <v>25.1189</v>
      </c>
      <c r="B181" s="10" t="s">
        <v>13</v>
      </c>
      <c r="C181" s="5">
        <v>0</v>
      </c>
      <c r="D181" s="9">
        <v>865.72</v>
      </c>
      <c r="E181" s="9">
        <v>36.012999999999998</v>
      </c>
      <c r="F181" s="11">
        <v>4.1599999999999998E-2</v>
      </c>
      <c r="G181" s="12">
        <f t="shared" si="10"/>
        <v>1.4000006169763799</v>
      </c>
      <c r="H181" s="1">
        <v>12008448000000</v>
      </c>
      <c r="I181" s="2">
        <f t="shared" si="11"/>
        <v>13.079486881791722</v>
      </c>
      <c r="J181" s="2">
        <f t="shared" si="12"/>
        <v>14.479487498768101</v>
      </c>
      <c r="K181" s="1">
        <f t="shared" si="13"/>
        <v>3.3152211258830549E-15</v>
      </c>
      <c r="L181" s="17">
        <f t="shared" si="14"/>
        <v>866.4687268268832</v>
      </c>
    </row>
    <row r="182" spans="1:12" x14ac:dyDescent="0.3">
      <c r="A182" s="9">
        <v>31.622800000000002</v>
      </c>
      <c r="B182" s="10" t="s">
        <v>13</v>
      </c>
      <c r="C182" s="5">
        <v>0</v>
      </c>
      <c r="D182" s="9">
        <v>871.16</v>
      </c>
      <c r="E182" s="9">
        <v>36.661999999999999</v>
      </c>
      <c r="F182" s="11">
        <v>4.2079999999999999E-2</v>
      </c>
      <c r="G182" s="12">
        <f t="shared" si="10"/>
        <v>1.5000003213429354</v>
      </c>
      <c r="H182" s="1">
        <v>12008448000000</v>
      </c>
      <c r="I182" s="2">
        <f t="shared" si="11"/>
        <v>13.079486881791722</v>
      </c>
      <c r="J182" s="2">
        <f t="shared" si="12"/>
        <v>14.579487203134658</v>
      </c>
      <c r="K182" s="1">
        <f t="shared" si="13"/>
        <v>2.6333755372371877E-15</v>
      </c>
      <c r="L182" s="17">
        <f t="shared" si="14"/>
        <v>871.93110269332624</v>
      </c>
    </row>
    <row r="183" spans="1:12" x14ac:dyDescent="0.3">
      <c r="A183" s="9">
        <v>39.810699999999997</v>
      </c>
      <c r="B183" s="10" t="s">
        <v>13</v>
      </c>
      <c r="C183" s="5">
        <v>0</v>
      </c>
      <c r="D183" s="9">
        <v>876.04</v>
      </c>
      <c r="E183" s="9">
        <v>36.844000000000001</v>
      </c>
      <c r="F183" s="11">
        <v>4.206E-2</v>
      </c>
      <c r="G183" s="12">
        <f t="shared" si="10"/>
        <v>1.5999998139434199</v>
      </c>
      <c r="H183" s="1">
        <v>12008448000000</v>
      </c>
      <c r="I183" s="2">
        <f t="shared" si="11"/>
        <v>13.079486881791722</v>
      </c>
      <c r="J183" s="2">
        <f t="shared" si="12"/>
        <v>14.679486695735141</v>
      </c>
      <c r="K183" s="1">
        <f t="shared" si="13"/>
        <v>2.0917669857335813E-15</v>
      </c>
      <c r="L183" s="17">
        <f t="shared" si="14"/>
        <v>876.81443985372402</v>
      </c>
    </row>
    <row r="184" spans="1:12" x14ac:dyDescent="0.3">
      <c r="A184" s="9">
        <v>50.1188</v>
      </c>
      <c r="B184" s="10" t="s">
        <v>13</v>
      </c>
      <c r="C184" s="5">
        <v>0</v>
      </c>
      <c r="D184" s="9">
        <v>881.03</v>
      </c>
      <c r="E184" s="9">
        <v>37.155000000000001</v>
      </c>
      <c r="F184" s="11">
        <v>4.2169999999999999E-2</v>
      </c>
      <c r="G184" s="12">
        <f t="shared" si="10"/>
        <v>1.7000006640855352</v>
      </c>
      <c r="H184" s="1">
        <v>12008448000000</v>
      </c>
      <c r="I184" s="2">
        <f t="shared" si="11"/>
        <v>13.079486881791722</v>
      </c>
      <c r="J184" s="2">
        <f t="shared" si="12"/>
        <v>14.779487545877256</v>
      </c>
      <c r="K184" s="1">
        <f t="shared" si="13"/>
        <v>1.6615463247113667E-15</v>
      </c>
      <c r="L184" s="17">
        <f t="shared" si="14"/>
        <v>881.8131065736095</v>
      </c>
    </row>
    <row r="185" spans="1:12" x14ac:dyDescent="0.3">
      <c r="A185" s="9">
        <v>63.095799999999997</v>
      </c>
      <c r="B185" s="10" t="s">
        <v>13</v>
      </c>
      <c r="C185" s="5">
        <v>0</v>
      </c>
      <c r="D185" s="9">
        <v>886.14</v>
      </c>
      <c r="E185" s="9">
        <v>37.767000000000003</v>
      </c>
      <c r="F185" s="11">
        <v>4.2619999999999998E-2</v>
      </c>
      <c r="G185" s="12">
        <f t="shared" si="10"/>
        <v>1.800000451200845</v>
      </c>
      <c r="H185" s="1">
        <v>12008448000000</v>
      </c>
      <c r="I185" s="2">
        <f t="shared" si="11"/>
        <v>13.079486881791722</v>
      </c>
      <c r="J185" s="2">
        <f t="shared" si="12"/>
        <v>14.879487332992566</v>
      </c>
      <c r="K185" s="1">
        <f t="shared" si="13"/>
        <v>1.3198138059735233E-15</v>
      </c>
      <c r="L185" s="17">
        <f t="shared" si="14"/>
        <v>886.94444351887114</v>
      </c>
    </row>
    <row r="186" spans="1:12" x14ac:dyDescent="0.3">
      <c r="A186" s="9">
        <v>79.432900000000004</v>
      </c>
      <c r="B186" s="10" t="s">
        <v>13</v>
      </c>
      <c r="C186" s="5">
        <v>0</v>
      </c>
      <c r="D186" s="9">
        <v>890.94</v>
      </c>
      <c r="E186" s="9">
        <v>38.177999999999997</v>
      </c>
      <c r="F186" s="11">
        <v>4.2849999999999999E-2</v>
      </c>
      <c r="G186" s="12">
        <f t="shared" si="10"/>
        <v>1.900000418409981</v>
      </c>
      <c r="H186" s="1">
        <v>12008448000000</v>
      </c>
      <c r="I186" s="2">
        <f t="shared" si="11"/>
        <v>13.079486881791722</v>
      </c>
      <c r="J186" s="2">
        <f t="shared" si="12"/>
        <v>14.979487300201702</v>
      </c>
      <c r="K186" s="1">
        <f t="shared" si="13"/>
        <v>1.0483654498192041E-15</v>
      </c>
      <c r="L186" s="17">
        <f t="shared" si="14"/>
        <v>891.75761464873403</v>
      </c>
    </row>
    <row r="187" spans="1:12" x14ac:dyDescent="0.3">
      <c r="A187" s="9">
        <v>100</v>
      </c>
      <c r="B187" s="10" t="s">
        <v>13</v>
      </c>
      <c r="C187" s="5">
        <v>0</v>
      </c>
      <c r="D187" s="9">
        <v>895.6</v>
      </c>
      <c r="E187" s="9">
        <v>38.511000000000003</v>
      </c>
      <c r="F187" s="11">
        <v>4.2999999999999997E-2</v>
      </c>
      <c r="G187" s="12">
        <f t="shared" si="10"/>
        <v>2</v>
      </c>
      <c r="H187" s="1">
        <v>12008448000000</v>
      </c>
      <c r="I187" s="2">
        <f t="shared" si="11"/>
        <v>13.079486881791722</v>
      </c>
      <c r="J187" s="2">
        <f t="shared" si="12"/>
        <v>15.079486881791722</v>
      </c>
      <c r="K187" s="1">
        <f t="shared" si="13"/>
        <v>8.3274707938943744E-16</v>
      </c>
      <c r="L187" s="17">
        <f t="shared" si="14"/>
        <v>896.42760841074062</v>
      </c>
    </row>
    <row r="188" spans="1:12" x14ac:dyDescent="0.3">
      <c r="A188" s="4">
        <v>0.1</v>
      </c>
      <c r="B188" s="5" t="s">
        <v>14</v>
      </c>
      <c r="C188" s="5">
        <v>10</v>
      </c>
      <c r="D188" s="4">
        <v>667.29</v>
      </c>
      <c r="E188" s="4">
        <v>43.401000000000003</v>
      </c>
      <c r="F188" s="6">
        <v>6.5040000000000001E-2</v>
      </c>
      <c r="G188" s="7">
        <f t="shared" si="10"/>
        <v>-1</v>
      </c>
      <c r="H188" s="1">
        <v>381312000000</v>
      </c>
      <c r="I188" s="2">
        <f t="shared" si="11"/>
        <v>11.581280472862913</v>
      </c>
      <c r="J188" s="2">
        <f t="shared" si="12"/>
        <v>10.581280472862913</v>
      </c>
      <c r="K188" s="1">
        <f t="shared" si="13"/>
        <v>2.6225243370258392E-11</v>
      </c>
      <c r="L188" s="17">
        <f t="shared" si="14"/>
        <v>668.69992590174547</v>
      </c>
    </row>
    <row r="189" spans="1:12" x14ac:dyDescent="0.3">
      <c r="A189" s="4">
        <v>0.12589</v>
      </c>
      <c r="B189" s="5" t="s">
        <v>14</v>
      </c>
      <c r="C189" s="5">
        <v>10</v>
      </c>
      <c r="D189" s="4">
        <v>676.52</v>
      </c>
      <c r="E189" s="4">
        <v>39.154000000000003</v>
      </c>
      <c r="F189" s="6">
        <v>5.7880000000000001E-2</v>
      </c>
      <c r="G189" s="7">
        <f t="shared" si="10"/>
        <v>-0.90000876645531558</v>
      </c>
      <c r="H189" s="1">
        <v>381312000000</v>
      </c>
      <c r="I189" s="2">
        <f t="shared" si="11"/>
        <v>11.581280472862913</v>
      </c>
      <c r="J189" s="2">
        <f t="shared" si="12"/>
        <v>10.681271706407598</v>
      </c>
      <c r="K189" s="1">
        <f t="shared" si="13"/>
        <v>2.0831871769209887E-11</v>
      </c>
      <c r="L189" s="17">
        <f t="shared" si="14"/>
        <v>677.65208338497712</v>
      </c>
    </row>
    <row r="190" spans="1:12" x14ac:dyDescent="0.3">
      <c r="A190" s="4">
        <v>0.15848999999999999</v>
      </c>
      <c r="B190" s="5" t="s">
        <v>14</v>
      </c>
      <c r="C190" s="5">
        <v>10</v>
      </c>
      <c r="D190" s="4">
        <v>684.14</v>
      </c>
      <c r="E190" s="4">
        <v>37.472000000000001</v>
      </c>
      <c r="F190" s="6">
        <v>5.4769999999999999E-2</v>
      </c>
      <c r="G190" s="7">
        <f t="shared" si="10"/>
        <v>-0.79999813459339819</v>
      </c>
      <c r="H190" s="1">
        <v>381312000000</v>
      </c>
      <c r="I190" s="2">
        <f t="shared" si="11"/>
        <v>11.581280472862913</v>
      </c>
      <c r="J190" s="2">
        <f t="shared" si="12"/>
        <v>10.781282338269515</v>
      </c>
      <c r="K190" s="1">
        <f t="shared" si="13"/>
        <v>1.6546938841730306E-11</v>
      </c>
      <c r="L190" s="17">
        <f t="shared" si="14"/>
        <v>685.16544745338695</v>
      </c>
    </row>
    <row r="191" spans="1:12" x14ac:dyDescent="0.3">
      <c r="A191" s="4">
        <v>0.19953000000000001</v>
      </c>
      <c r="B191" s="5" t="s">
        <v>14</v>
      </c>
      <c r="C191" s="5">
        <v>10</v>
      </c>
      <c r="D191" s="4">
        <v>690.96</v>
      </c>
      <c r="E191" s="4">
        <v>36.561999999999998</v>
      </c>
      <c r="F191" s="6">
        <v>5.2909999999999999E-2</v>
      </c>
      <c r="G191" s="7">
        <f t="shared" si="10"/>
        <v>-0.69999179744618689</v>
      </c>
      <c r="H191" s="1">
        <v>381312000000</v>
      </c>
      <c r="I191" s="2">
        <f t="shared" si="11"/>
        <v>11.581280472862913</v>
      </c>
      <c r="J191" s="2">
        <f t="shared" si="12"/>
        <v>10.881288675416727</v>
      </c>
      <c r="K191" s="1">
        <f t="shared" si="13"/>
        <v>1.3143508931117267E-11</v>
      </c>
      <c r="L191" s="17">
        <f t="shared" si="14"/>
        <v>691.92665900657425</v>
      </c>
    </row>
    <row r="192" spans="1:12" x14ac:dyDescent="0.3">
      <c r="A192" s="4">
        <v>0.25119000000000002</v>
      </c>
      <c r="B192" s="5" t="s">
        <v>14</v>
      </c>
      <c r="C192" s="5">
        <v>10</v>
      </c>
      <c r="D192" s="4">
        <v>697.56</v>
      </c>
      <c r="E192" s="4">
        <v>35.692999999999998</v>
      </c>
      <c r="F192" s="6">
        <v>5.117E-2</v>
      </c>
      <c r="G192" s="7">
        <f t="shared" si="10"/>
        <v>-0.59999765407204408</v>
      </c>
      <c r="H192" s="1">
        <v>381312000000</v>
      </c>
      <c r="I192" s="2">
        <f t="shared" si="11"/>
        <v>11.581280472862913</v>
      </c>
      <c r="J192" s="2">
        <f t="shared" si="12"/>
        <v>10.981282818790868</v>
      </c>
      <c r="K192" s="1">
        <f t="shared" si="13"/>
        <v>1.0440401039156979E-11</v>
      </c>
      <c r="L192" s="17">
        <f t="shared" si="14"/>
        <v>698.47257916757189</v>
      </c>
    </row>
    <row r="193" spans="1:12" x14ac:dyDescent="0.3">
      <c r="A193" s="4">
        <v>0.31623000000000001</v>
      </c>
      <c r="B193" s="5" t="s">
        <v>14</v>
      </c>
      <c r="C193" s="5">
        <v>10</v>
      </c>
      <c r="D193" s="4">
        <v>703.14</v>
      </c>
      <c r="E193" s="4">
        <v>35.052</v>
      </c>
      <c r="F193" s="6">
        <v>4.9849999999999998E-2</v>
      </c>
      <c r="G193" s="7">
        <f t="shared" si="10"/>
        <v>-0.4999969319483068</v>
      </c>
      <c r="H193" s="1">
        <v>381312000000</v>
      </c>
      <c r="I193" s="2">
        <f t="shared" si="11"/>
        <v>11.581280472862913</v>
      </c>
      <c r="J193" s="2">
        <f t="shared" si="12"/>
        <v>11.081283540914606</v>
      </c>
      <c r="K193" s="1">
        <f t="shared" si="13"/>
        <v>8.2930915378864673E-12</v>
      </c>
      <c r="L193" s="17">
        <f t="shared" si="14"/>
        <v>704.01314071826812</v>
      </c>
    </row>
    <row r="194" spans="1:12" x14ac:dyDescent="0.3">
      <c r="A194" s="4">
        <v>0.39811000000000002</v>
      </c>
      <c r="B194" s="5" t="s">
        <v>14</v>
      </c>
      <c r="C194" s="5">
        <v>10</v>
      </c>
      <c r="D194" s="4">
        <v>708.73</v>
      </c>
      <c r="E194" s="4">
        <v>34.462000000000003</v>
      </c>
      <c r="F194" s="6">
        <v>4.863E-2</v>
      </c>
      <c r="G194" s="7">
        <f t="shared" si="10"/>
        <v>-0.39999691337225962</v>
      </c>
      <c r="H194" s="1">
        <v>381312000000</v>
      </c>
      <c r="I194" s="2">
        <f t="shared" si="11"/>
        <v>11.581280472862913</v>
      </c>
      <c r="J194" s="2">
        <f t="shared" si="12"/>
        <v>11.181283559490653</v>
      </c>
      <c r="K194" s="1">
        <f t="shared" si="13"/>
        <v>6.5874364799322632E-12</v>
      </c>
      <c r="L194" s="17">
        <f t="shared" si="14"/>
        <v>709.56736279510494</v>
      </c>
    </row>
    <row r="195" spans="1:12" x14ac:dyDescent="0.3">
      <c r="A195" s="4">
        <v>0.50119000000000002</v>
      </c>
      <c r="B195" s="5" t="s">
        <v>14</v>
      </c>
      <c r="C195" s="5">
        <v>10</v>
      </c>
      <c r="D195" s="4">
        <v>713.91</v>
      </c>
      <c r="E195" s="4">
        <v>33.988</v>
      </c>
      <c r="F195" s="6">
        <v>4.761E-2</v>
      </c>
      <c r="G195" s="7">
        <f t="shared" ref="G195:G258" si="15">LOG(A195)</f>
        <v>-0.29999760285774607</v>
      </c>
      <c r="H195" s="1">
        <v>381312000000</v>
      </c>
      <c r="I195" s="2">
        <f t="shared" ref="I195:I258" si="16">LOG(H195)</f>
        <v>11.581280472862913</v>
      </c>
      <c r="J195" s="2">
        <f t="shared" ref="J195:J258" si="17">G195+I195</f>
        <v>11.281282870005167</v>
      </c>
      <c r="K195" s="1">
        <f t="shared" ref="K195:K258" si="18">1/10^J195</f>
        <v>5.2325950977190928E-12</v>
      </c>
      <c r="L195" s="17">
        <f t="shared" ref="L195:L258" si="19">SQRT(D195^2+E195^2)</f>
        <v>714.71859654272316</v>
      </c>
    </row>
    <row r="196" spans="1:12" x14ac:dyDescent="0.3">
      <c r="A196" s="4">
        <v>0.63095999999999997</v>
      </c>
      <c r="B196" s="5" t="s">
        <v>14</v>
      </c>
      <c r="C196" s="5">
        <v>10</v>
      </c>
      <c r="D196" s="4">
        <v>719.41</v>
      </c>
      <c r="E196" s="4">
        <v>33.634999999999998</v>
      </c>
      <c r="F196" s="6">
        <v>4.675E-2</v>
      </c>
      <c r="G196" s="7">
        <f t="shared" si="15"/>
        <v>-0.19999817218203128</v>
      </c>
      <c r="H196" s="1">
        <v>381312000000</v>
      </c>
      <c r="I196" s="2">
        <f t="shared" si="16"/>
        <v>11.581280472862913</v>
      </c>
      <c r="J196" s="2">
        <f t="shared" si="17"/>
        <v>11.381282300680882</v>
      </c>
      <c r="K196" s="1">
        <f t="shared" si="18"/>
        <v>4.156403475697083E-12</v>
      </c>
      <c r="L196" s="17">
        <f t="shared" si="19"/>
        <v>720.19584928337372</v>
      </c>
    </row>
    <row r="197" spans="1:12" x14ac:dyDescent="0.3">
      <c r="A197" s="4">
        <v>0.79432999999999998</v>
      </c>
      <c r="B197" s="5" t="s">
        <v>14</v>
      </c>
      <c r="C197" s="5">
        <v>10</v>
      </c>
      <c r="D197" s="4">
        <v>724.26</v>
      </c>
      <c r="E197" s="4">
        <v>33.363</v>
      </c>
      <c r="F197" s="6">
        <v>4.6059999999999997E-2</v>
      </c>
      <c r="G197" s="7">
        <f t="shared" si="15"/>
        <v>-9.9999034846530471E-2</v>
      </c>
      <c r="H197" s="1">
        <v>381312000000</v>
      </c>
      <c r="I197" s="2">
        <f t="shared" si="16"/>
        <v>11.581280472862913</v>
      </c>
      <c r="J197" s="2">
        <f t="shared" si="17"/>
        <v>11.481281438016383</v>
      </c>
      <c r="K197" s="1">
        <f t="shared" si="18"/>
        <v>3.3015551937177684E-12</v>
      </c>
      <c r="L197" s="17">
        <f t="shared" si="19"/>
        <v>725.0280252300596</v>
      </c>
    </row>
    <row r="198" spans="1:12" x14ac:dyDescent="0.3">
      <c r="A198" s="4">
        <v>1</v>
      </c>
      <c r="B198" s="5" t="s">
        <v>14</v>
      </c>
      <c r="C198" s="5">
        <v>10</v>
      </c>
      <c r="D198" s="4">
        <v>729.49</v>
      </c>
      <c r="E198" s="4">
        <v>33.375</v>
      </c>
      <c r="F198" s="6">
        <v>4.5749999999999999E-2</v>
      </c>
      <c r="G198" s="7">
        <f t="shared" si="15"/>
        <v>0</v>
      </c>
      <c r="H198" s="1">
        <v>381312000000</v>
      </c>
      <c r="I198" s="2">
        <f t="shared" si="16"/>
        <v>11.581280472862913</v>
      </c>
      <c r="J198" s="2">
        <f t="shared" si="17"/>
        <v>11.581280472862913</v>
      </c>
      <c r="K198" s="1">
        <f t="shared" si="18"/>
        <v>2.6225243370258362E-12</v>
      </c>
      <c r="L198" s="17">
        <f t="shared" si="19"/>
        <v>730.25307306782349</v>
      </c>
    </row>
    <row r="199" spans="1:12" x14ac:dyDescent="0.3">
      <c r="A199" s="4">
        <v>1.2589300000000001</v>
      </c>
      <c r="B199" s="5" t="s">
        <v>14</v>
      </c>
      <c r="C199" s="5">
        <v>10</v>
      </c>
      <c r="D199" s="4">
        <v>734.28</v>
      </c>
      <c r="E199" s="4">
        <v>32.777999999999999</v>
      </c>
      <c r="F199" s="6">
        <v>4.4639999999999999E-2</v>
      </c>
      <c r="G199" s="7">
        <f t="shared" si="15"/>
        <v>0.10000158280135207</v>
      </c>
      <c r="H199" s="1">
        <v>381312000000</v>
      </c>
      <c r="I199" s="2">
        <f t="shared" si="16"/>
        <v>11.581280472862913</v>
      </c>
      <c r="J199" s="2">
        <f t="shared" si="17"/>
        <v>11.681282055664266</v>
      </c>
      <c r="K199" s="1">
        <f t="shared" si="18"/>
        <v>2.0831375350701264E-12</v>
      </c>
      <c r="L199" s="17">
        <f t="shared" si="19"/>
        <v>735.01123507331499</v>
      </c>
    </row>
    <row r="200" spans="1:12" x14ac:dyDescent="0.3">
      <c r="A200" s="4">
        <v>1.5848899999999999</v>
      </c>
      <c r="B200" s="5" t="s">
        <v>14</v>
      </c>
      <c r="C200" s="5">
        <v>10</v>
      </c>
      <c r="D200" s="4">
        <v>739.04</v>
      </c>
      <c r="E200" s="4">
        <v>32.649000000000001</v>
      </c>
      <c r="F200" s="6">
        <v>4.4179999999999997E-2</v>
      </c>
      <c r="G200" s="7">
        <f t="shared" si="15"/>
        <v>0.19999912519679666</v>
      </c>
      <c r="H200" s="1">
        <v>381312000000</v>
      </c>
      <c r="I200" s="2">
        <f t="shared" si="16"/>
        <v>11.581280472862913</v>
      </c>
      <c r="J200" s="2">
        <f t="shared" si="17"/>
        <v>11.78127959805971</v>
      </c>
      <c r="K200" s="1">
        <f t="shared" si="18"/>
        <v>1.6547043246066498E-12</v>
      </c>
      <c r="L200" s="17">
        <f t="shared" si="19"/>
        <v>739.76082540304867</v>
      </c>
    </row>
    <row r="201" spans="1:12" x14ac:dyDescent="0.3">
      <c r="A201" s="4">
        <v>1.99526</v>
      </c>
      <c r="B201" s="5" t="s">
        <v>14</v>
      </c>
      <c r="C201" s="5">
        <v>10</v>
      </c>
      <c r="D201" s="4">
        <v>743.8</v>
      </c>
      <c r="E201" s="4">
        <v>32.642000000000003</v>
      </c>
      <c r="F201" s="6">
        <v>4.3889999999999998E-2</v>
      </c>
      <c r="G201" s="7">
        <f t="shared" si="15"/>
        <v>0.29999949611698379</v>
      </c>
      <c r="H201" s="1">
        <v>381312000000</v>
      </c>
      <c r="I201" s="2">
        <f t="shared" si="16"/>
        <v>11.581280472862913</v>
      </c>
      <c r="J201" s="2">
        <f t="shared" si="17"/>
        <v>11.881279968979896</v>
      </c>
      <c r="K201" s="1">
        <f t="shared" si="18"/>
        <v>1.3143772425778291E-12</v>
      </c>
      <c r="L201" s="17">
        <f t="shared" si="19"/>
        <v>744.51590994685932</v>
      </c>
    </row>
    <row r="202" spans="1:12" x14ac:dyDescent="0.3">
      <c r="A202" s="4">
        <v>2.5118900000000002</v>
      </c>
      <c r="B202" s="5" t="s">
        <v>14</v>
      </c>
      <c r="C202" s="5">
        <v>10</v>
      </c>
      <c r="D202" s="4">
        <v>748.34</v>
      </c>
      <c r="E202" s="4">
        <v>32.078000000000003</v>
      </c>
      <c r="F202" s="6">
        <v>4.2869999999999998E-2</v>
      </c>
      <c r="G202" s="7">
        <f t="shared" si="15"/>
        <v>0.40000061697637995</v>
      </c>
      <c r="H202" s="1">
        <v>381312000000</v>
      </c>
      <c r="I202" s="2">
        <f t="shared" si="16"/>
        <v>11.581280472862913</v>
      </c>
      <c r="J202" s="2">
        <f t="shared" si="17"/>
        <v>11.981281089839293</v>
      </c>
      <c r="K202" s="1">
        <f t="shared" si="18"/>
        <v>1.0440442603083087E-12</v>
      </c>
      <c r="L202" s="17">
        <f t="shared" si="19"/>
        <v>749.02720490246543</v>
      </c>
    </row>
    <row r="203" spans="1:12" x14ac:dyDescent="0.3">
      <c r="A203" s="4">
        <v>3.16228</v>
      </c>
      <c r="B203" s="5" t="s">
        <v>14</v>
      </c>
      <c r="C203" s="5">
        <v>10</v>
      </c>
      <c r="D203" s="4">
        <v>752.93</v>
      </c>
      <c r="E203" s="4">
        <v>31.951000000000001</v>
      </c>
      <c r="F203" s="6">
        <v>4.2439999999999999E-2</v>
      </c>
      <c r="G203" s="7">
        <f t="shared" si="15"/>
        <v>0.50000032134293526</v>
      </c>
      <c r="H203" s="1">
        <v>381312000000</v>
      </c>
      <c r="I203" s="2">
        <f t="shared" si="16"/>
        <v>11.581280472862913</v>
      </c>
      <c r="J203" s="2">
        <f t="shared" si="17"/>
        <v>12.081280794205847</v>
      </c>
      <c r="K203" s="1">
        <f t="shared" si="18"/>
        <v>8.2931439879638632E-13</v>
      </c>
      <c r="L203" s="17">
        <f t="shared" si="19"/>
        <v>753.60762423226572</v>
      </c>
    </row>
    <row r="204" spans="1:12" x14ac:dyDescent="0.3">
      <c r="A204" s="4">
        <v>3.9810699999999999</v>
      </c>
      <c r="B204" s="5" t="s">
        <v>14</v>
      </c>
      <c r="C204" s="5">
        <v>10</v>
      </c>
      <c r="D204" s="4">
        <v>757.59</v>
      </c>
      <c r="E204" s="4">
        <v>31.876999999999999</v>
      </c>
      <c r="F204" s="6">
        <v>4.2079999999999999E-2</v>
      </c>
      <c r="G204" s="7">
        <f t="shared" si="15"/>
        <v>0.59999981394342006</v>
      </c>
      <c r="H204" s="1">
        <v>381312000000</v>
      </c>
      <c r="I204" s="2">
        <f t="shared" si="16"/>
        <v>11.581280472862913</v>
      </c>
      <c r="J204" s="2">
        <f t="shared" si="17"/>
        <v>12.181280286806333</v>
      </c>
      <c r="K204" s="1">
        <f t="shared" si="18"/>
        <v>6.587486120630478E-13</v>
      </c>
      <c r="L204" s="17">
        <f t="shared" si="19"/>
        <v>758.26034528320156</v>
      </c>
    </row>
    <row r="205" spans="1:12" x14ac:dyDescent="0.3">
      <c r="A205" s="4">
        <v>5.01187</v>
      </c>
      <c r="B205" s="5" t="s">
        <v>14</v>
      </c>
      <c r="C205" s="5">
        <v>10</v>
      </c>
      <c r="D205" s="4">
        <v>762</v>
      </c>
      <c r="E205" s="4">
        <v>31.7</v>
      </c>
      <c r="F205" s="6">
        <v>4.1599999999999998E-2</v>
      </c>
      <c r="G205" s="7">
        <f t="shared" si="15"/>
        <v>0.69999979755458241</v>
      </c>
      <c r="H205" s="1">
        <v>381312000000</v>
      </c>
      <c r="I205" s="2">
        <f t="shared" si="16"/>
        <v>11.581280472862913</v>
      </c>
      <c r="J205" s="2">
        <f t="shared" si="17"/>
        <v>12.281280270417495</v>
      </c>
      <c r="K205" s="1">
        <f t="shared" si="18"/>
        <v>5.2326264189331167E-13</v>
      </c>
      <c r="L205" s="17">
        <f t="shared" si="19"/>
        <v>762.65909159991008</v>
      </c>
    </row>
    <row r="206" spans="1:12" x14ac:dyDescent="0.3">
      <c r="A206" s="4">
        <v>6.3095800000000004</v>
      </c>
      <c r="B206" s="5" t="s">
        <v>14</v>
      </c>
      <c r="C206" s="5">
        <v>10</v>
      </c>
      <c r="D206" s="4">
        <v>766.6</v>
      </c>
      <c r="E206" s="4">
        <v>31.648</v>
      </c>
      <c r="F206" s="6">
        <v>4.1279999999999997E-2</v>
      </c>
      <c r="G206" s="7">
        <f t="shared" si="15"/>
        <v>0.80000045120084495</v>
      </c>
      <c r="H206" s="1">
        <v>381312000000</v>
      </c>
      <c r="I206" s="2">
        <f t="shared" si="16"/>
        <v>11.581280472862913</v>
      </c>
      <c r="J206" s="2">
        <f t="shared" si="17"/>
        <v>12.381280924063757</v>
      </c>
      <c r="K206" s="1">
        <f t="shared" si="18"/>
        <v>4.1564166505945558E-13</v>
      </c>
      <c r="L206" s="17">
        <f t="shared" si="19"/>
        <v>767.25299341481889</v>
      </c>
    </row>
    <row r="207" spans="1:12" x14ac:dyDescent="0.3">
      <c r="A207" s="4">
        <v>7.9432900000000002</v>
      </c>
      <c r="B207" s="5" t="s">
        <v>14</v>
      </c>
      <c r="C207" s="5">
        <v>10</v>
      </c>
      <c r="D207" s="4">
        <v>771.26</v>
      </c>
      <c r="E207" s="4">
        <v>31.651</v>
      </c>
      <c r="F207" s="6">
        <v>4.104E-2</v>
      </c>
      <c r="G207" s="7">
        <f t="shared" si="15"/>
        <v>0.90000041840998102</v>
      </c>
      <c r="H207" s="1">
        <v>381312000000</v>
      </c>
      <c r="I207" s="2">
        <f t="shared" si="16"/>
        <v>11.581280472862913</v>
      </c>
      <c r="J207" s="2">
        <f t="shared" si="17"/>
        <v>12.481280891272894</v>
      </c>
      <c r="K207" s="1">
        <f t="shared" si="18"/>
        <v>3.3015593501254976E-13</v>
      </c>
      <c r="L207" s="17">
        <f t="shared" si="19"/>
        <v>771.90917432104663</v>
      </c>
    </row>
    <row r="208" spans="1:12" x14ac:dyDescent="0.3">
      <c r="A208" s="4">
        <v>10</v>
      </c>
      <c r="B208" s="5" t="s">
        <v>14</v>
      </c>
      <c r="C208" s="5">
        <v>10</v>
      </c>
      <c r="D208" s="4">
        <v>775.79</v>
      </c>
      <c r="E208" s="4">
        <v>31.716999999999999</v>
      </c>
      <c r="F208" s="6">
        <v>4.088E-2</v>
      </c>
      <c r="G208" s="7">
        <f t="shared" si="15"/>
        <v>1</v>
      </c>
      <c r="H208" s="1">
        <v>381312000000</v>
      </c>
      <c r="I208" s="2">
        <f t="shared" si="16"/>
        <v>11.581280472862913</v>
      </c>
      <c r="J208" s="2">
        <f t="shared" si="17"/>
        <v>12.581280472862913</v>
      </c>
      <c r="K208" s="1">
        <f t="shared" si="18"/>
        <v>2.6225243370258336E-13</v>
      </c>
      <c r="L208" s="17">
        <f t="shared" si="19"/>
        <v>776.43808007400037</v>
      </c>
    </row>
    <row r="209" spans="1:12" x14ac:dyDescent="0.3">
      <c r="A209" s="4">
        <v>12.5893</v>
      </c>
      <c r="B209" s="5" t="s">
        <v>14</v>
      </c>
      <c r="C209" s="5">
        <v>10</v>
      </c>
      <c r="D209" s="4">
        <v>780.19</v>
      </c>
      <c r="E209" s="4">
        <v>31.561</v>
      </c>
      <c r="F209" s="6">
        <v>4.045E-2</v>
      </c>
      <c r="G209" s="7">
        <f t="shared" si="15"/>
        <v>1.1000015828013521</v>
      </c>
      <c r="H209" s="1">
        <v>381312000000</v>
      </c>
      <c r="I209" s="2">
        <f t="shared" si="16"/>
        <v>11.581280472862913</v>
      </c>
      <c r="J209" s="2">
        <f t="shared" si="17"/>
        <v>12.681282055664266</v>
      </c>
      <c r="K209" s="1">
        <f t="shared" si="18"/>
        <v>2.0831375350701239E-13</v>
      </c>
      <c r="L209" s="17">
        <f t="shared" si="19"/>
        <v>780.8281070895182</v>
      </c>
    </row>
    <row r="210" spans="1:12" x14ac:dyDescent="0.3">
      <c r="A210" s="4">
        <v>15.8489</v>
      </c>
      <c r="B210" s="5" t="s">
        <v>14</v>
      </c>
      <c r="C210" s="5">
        <v>10</v>
      </c>
      <c r="D210" s="4">
        <v>784.63</v>
      </c>
      <c r="E210" s="4">
        <v>31.666</v>
      </c>
      <c r="F210" s="6">
        <v>4.036E-2</v>
      </c>
      <c r="G210" s="7">
        <f t="shared" si="15"/>
        <v>1.1999991251967967</v>
      </c>
      <c r="H210" s="1">
        <v>381312000000</v>
      </c>
      <c r="I210" s="2">
        <f t="shared" si="16"/>
        <v>11.581280472862913</v>
      </c>
      <c r="J210" s="2">
        <f t="shared" si="17"/>
        <v>12.78127959805971</v>
      </c>
      <c r="K210" s="1">
        <f t="shared" si="18"/>
        <v>1.6547043246066483E-13</v>
      </c>
      <c r="L210" s="17">
        <f t="shared" si="19"/>
        <v>785.26872626891236</v>
      </c>
    </row>
    <row r="211" spans="1:12" x14ac:dyDescent="0.3">
      <c r="A211" s="4">
        <v>19.9526</v>
      </c>
      <c r="B211" s="5" t="s">
        <v>14</v>
      </c>
      <c r="C211" s="5">
        <v>10</v>
      </c>
      <c r="D211" s="4">
        <v>789.16</v>
      </c>
      <c r="E211" s="4">
        <v>31.748999999999999</v>
      </c>
      <c r="F211" s="6">
        <v>4.0230000000000002E-2</v>
      </c>
      <c r="G211" s="7">
        <f t="shared" si="15"/>
        <v>1.2999994961169838</v>
      </c>
      <c r="H211" s="1">
        <v>381312000000</v>
      </c>
      <c r="I211" s="2">
        <f t="shared" si="16"/>
        <v>11.581280472862913</v>
      </c>
      <c r="J211" s="2">
        <f t="shared" si="17"/>
        <v>12.881279968979896</v>
      </c>
      <c r="K211" s="1">
        <f t="shared" si="18"/>
        <v>1.3143772425778275E-13</v>
      </c>
      <c r="L211" s="17">
        <f t="shared" si="19"/>
        <v>789.79839490910581</v>
      </c>
    </row>
    <row r="212" spans="1:12" x14ac:dyDescent="0.3">
      <c r="A212" s="4">
        <v>25.1189</v>
      </c>
      <c r="B212" s="5" t="s">
        <v>14</v>
      </c>
      <c r="C212" s="5">
        <v>10</v>
      </c>
      <c r="D212" s="4">
        <v>793.54</v>
      </c>
      <c r="E212" s="4">
        <v>31.952999999999999</v>
      </c>
      <c r="F212" s="6">
        <v>4.027E-2</v>
      </c>
      <c r="G212" s="7">
        <f t="shared" si="15"/>
        <v>1.4000006169763799</v>
      </c>
      <c r="H212" s="1">
        <v>381312000000</v>
      </c>
      <c r="I212" s="2">
        <f t="shared" si="16"/>
        <v>11.581280472862913</v>
      </c>
      <c r="J212" s="2">
        <f t="shared" si="17"/>
        <v>12.981281089839293</v>
      </c>
      <c r="K212" s="1">
        <f t="shared" si="18"/>
        <v>1.0440442603083075E-13</v>
      </c>
      <c r="L212" s="17">
        <f t="shared" si="19"/>
        <v>794.18305560431088</v>
      </c>
    </row>
    <row r="213" spans="1:12" x14ac:dyDescent="0.3">
      <c r="A213" s="4">
        <v>31.622800000000002</v>
      </c>
      <c r="B213" s="5" t="s">
        <v>14</v>
      </c>
      <c r="C213" s="5">
        <v>10</v>
      </c>
      <c r="D213" s="4">
        <v>798.13</v>
      </c>
      <c r="E213" s="4">
        <v>32.588000000000001</v>
      </c>
      <c r="F213" s="6">
        <v>4.0829999999999998E-2</v>
      </c>
      <c r="G213" s="7">
        <f t="shared" si="15"/>
        <v>1.5000003213429354</v>
      </c>
      <c r="H213" s="1">
        <v>381312000000</v>
      </c>
      <c r="I213" s="2">
        <f t="shared" si="16"/>
        <v>11.581280472862913</v>
      </c>
      <c r="J213" s="2">
        <f t="shared" si="17"/>
        <v>13.081280794205849</v>
      </c>
      <c r="K213" s="1">
        <f t="shared" si="18"/>
        <v>8.2931439879638543E-14</v>
      </c>
      <c r="L213" s="17">
        <f t="shared" si="19"/>
        <v>798.79501415820073</v>
      </c>
    </row>
    <row r="214" spans="1:12" x14ac:dyDescent="0.3">
      <c r="A214" s="4">
        <v>39.810699999999997</v>
      </c>
      <c r="B214" s="5" t="s">
        <v>14</v>
      </c>
      <c r="C214" s="5">
        <v>10</v>
      </c>
      <c r="D214" s="4">
        <v>802.58</v>
      </c>
      <c r="E214" s="4">
        <v>32.460999999999999</v>
      </c>
      <c r="F214" s="6">
        <v>4.045E-2</v>
      </c>
      <c r="G214" s="7">
        <f t="shared" si="15"/>
        <v>1.5999998139434199</v>
      </c>
      <c r="H214" s="1">
        <v>381312000000</v>
      </c>
      <c r="I214" s="2">
        <f t="shared" si="16"/>
        <v>11.581280472862913</v>
      </c>
      <c r="J214" s="2">
        <f t="shared" si="17"/>
        <v>13.181280286806333</v>
      </c>
      <c r="K214" s="1">
        <f t="shared" si="18"/>
        <v>6.5874861206304712E-14</v>
      </c>
      <c r="L214" s="17">
        <f t="shared" si="19"/>
        <v>803.23618750713672</v>
      </c>
    </row>
    <row r="215" spans="1:12" x14ac:dyDescent="0.3">
      <c r="A215" s="4">
        <v>50.1188</v>
      </c>
      <c r="B215" s="5" t="s">
        <v>14</v>
      </c>
      <c r="C215" s="5">
        <v>10</v>
      </c>
      <c r="D215" s="4">
        <v>806.91</v>
      </c>
      <c r="E215" s="4">
        <v>32.798000000000002</v>
      </c>
      <c r="F215" s="6">
        <v>4.0649999999999999E-2</v>
      </c>
      <c r="G215" s="7">
        <f t="shared" si="15"/>
        <v>1.7000006640855352</v>
      </c>
      <c r="H215" s="1">
        <v>381312000000</v>
      </c>
      <c r="I215" s="2">
        <f t="shared" si="16"/>
        <v>11.581280472862913</v>
      </c>
      <c r="J215" s="2">
        <f t="shared" si="17"/>
        <v>13.281281136948447</v>
      </c>
      <c r="K215" s="1">
        <f t="shared" si="18"/>
        <v>5.2326159784867944E-14</v>
      </c>
      <c r="L215" s="17">
        <f t="shared" si="19"/>
        <v>807.57628550125219</v>
      </c>
    </row>
    <row r="216" spans="1:12" x14ac:dyDescent="0.3">
      <c r="A216" s="4">
        <v>63.095799999999997</v>
      </c>
      <c r="B216" s="5" t="s">
        <v>14</v>
      </c>
      <c r="C216" s="5">
        <v>10</v>
      </c>
      <c r="D216" s="4">
        <v>811.32</v>
      </c>
      <c r="E216" s="4">
        <v>32.904000000000003</v>
      </c>
      <c r="F216" s="6">
        <v>4.0559999999999999E-2</v>
      </c>
      <c r="G216" s="7">
        <f t="shared" si="15"/>
        <v>1.800000451200845</v>
      </c>
      <c r="H216" s="1">
        <v>381312000000</v>
      </c>
      <c r="I216" s="2">
        <f t="shared" si="16"/>
        <v>11.581280472862913</v>
      </c>
      <c r="J216" s="2">
        <f t="shared" si="17"/>
        <v>13.381280924063757</v>
      </c>
      <c r="K216" s="1">
        <f t="shared" si="18"/>
        <v>4.1564166505945505E-14</v>
      </c>
      <c r="L216" s="17">
        <f t="shared" si="19"/>
        <v>811.98695532379099</v>
      </c>
    </row>
    <row r="217" spans="1:12" x14ac:dyDescent="0.3">
      <c r="A217" s="4">
        <v>79.432900000000004</v>
      </c>
      <c r="B217" s="5" t="s">
        <v>14</v>
      </c>
      <c r="C217" s="5">
        <v>10</v>
      </c>
      <c r="D217" s="4">
        <v>815.59</v>
      </c>
      <c r="E217" s="4">
        <v>33.244</v>
      </c>
      <c r="F217" s="6">
        <v>4.0759999999999998E-2</v>
      </c>
      <c r="G217" s="7">
        <f t="shared" si="15"/>
        <v>1.900000418409981</v>
      </c>
      <c r="H217" s="1">
        <v>381312000000</v>
      </c>
      <c r="I217" s="2">
        <f t="shared" si="16"/>
        <v>11.581280472862913</v>
      </c>
      <c r="J217" s="2">
        <f t="shared" si="17"/>
        <v>13.481280891272894</v>
      </c>
      <c r="K217" s="1">
        <f t="shared" si="18"/>
        <v>3.3015593501254941E-14</v>
      </c>
      <c r="L217" s="17">
        <f t="shared" si="19"/>
        <v>816.26724278020617</v>
      </c>
    </row>
    <row r="218" spans="1:12" x14ac:dyDescent="0.3">
      <c r="A218" s="4">
        <v>100</v>
      </c>
      <c r="B218" s="5" t="s">
        <v>14</v>
      </c>
      <c r="C218" s="5">
        <v>10</v>
      </c>
      <c r="D218" s="4">
        <v>819.78</v>
      </c>
      <c r="E218" s="4">
        <v>33.387999999999998</v>
      </c>
      <c r="F218" s="6">
        <v>4.0730000000000002E-2</v>
      </c>
      <c r="G218" s="7">
        <f t="shared" si="15"/>
        <v>2</v>
      </c>
      <c r="H218" s="1">
        <v>381312000000</v>
      </c>
      <c r="I218" s="2">
        <f t="shared" si="16"/>
        <v>11.581280472862913</v>
      </c>
      <c r="J218" s="2">
        <f t="shared" si="17"/>
        <v>13.581280472862913</v>
      </c>
      <c r="K218" s="1">
        <f t="shared" si="18"/>
        <v>2.6225243370258303E-14</v>
      </c>
      <c r="L218" s="17">
        <f t="shared" si="19"/>
        <v>820.45963151394596</v>
      </c>
    </row>
    <row r="219" spans="1:12" x14ac:dyDescent="0.3">
      <c r="A219" s="9">
        <v>0.1</v>
      </c>
      <c r="B219" s="10" t="s">
        <v>15</v>
      </c>
      <c r="C219" s="5">
        <v>20</v>
      </c>
      <c r="D219" s="9">
        <v>605.24</v>
      </c>
      <c r="E219" s="9">
        <v>42.865000000000002</v>
      </c>
      <c r="F219" s="11">
        <v>7.0819999999999994E-2</v>
      </c>
      <c r="G219" s="12">
        <f t="shared" si="15"/>
        <v>-1</v>
      </c>
      <c r="H219" s="1">
        <v>15378336000</v>
      </c>
      <c r="I219" s="2">
        <f t="shared" si="16"/>
        <v>10.186909345536009</v>
      </c>
      <c r="J219" s="2">
        <f t="shared" si="17"/>
        <v>9.1869093455360087</v>
      </c>
      <c r="K219" s="1">
        <f t="shared" si="18"/>
        <v>6.5026541233069614E-10</v>
      </c>
      <c r="L219" s="17">
        <f t="shared" si="19"/>
        <v>606.75601836735007</v>
      </c>
    </row>
    <row r="220" spans="1:12" x14ac:dyDescent="0.3">
      <c r="A220" s="9">
        <v>0.12589</v>
      </c>
      <c r="B220" s="10" t="s">
        <v>15</v>
      </c>
      <c r="C220" s="5">
        <v>20</v>
      </c>
      <c r="D220" s="9">
        <v>614.01</v>
      </c>
      <c r="E220" s="9">
        <v>38.593000000000004</v>
      </c>
      <c r="F220" s="11">
        <v>6.2850000000000003E-2</v>
      </c>
      <c r="G220" s="12">
        <f t="shared" si="15"/>
        <v>-0.90000876645531558</v>
      </c>
      <c r="H220" s="1">
        <v>15378336000</v>
      </c>
      <c r="I220" s="2">
        <f t="shared" si="16"/>
        <v>10.186909345536009</v>
      </c>
      <c r="J220" s="2">
        <f t="shared" si="17"/>
        <v>9.2869005790806938</v>
      </c>
      <c r="K220" s="1">
        <f t="shared" si="18"/>
        <v>5.1653460348772484E-10</v>
      </c>
      <c r="L220" s="17">
        <f t="shared" si="19"/>
        <v>615.22166716477079</v>
      </c>
    </row>
    <row r="221" spans="1:12" x14ac:dyDescent="0.3">
      <c r="A221" s="9">
        <v>0.15848999999999999</v>
      </c>
      <c r="B221" s="10" t="s">
        <v>15</v>
      </c>
      <c r="C221" s="5">
        <v>20</v>
      </c>
      <c r="D221" s="9">
        <v>621.76</v>
      </c>
      <c r="E221" s="9">
        <v>36.94</v>
      </c>
      <c r="F221" s="11">
        <v>5.9409999999999998E-2</v>
      </c>
      <c r="G221" s="12">
        <f t="shared" si="15"/>
        <v>-0.79999813459339819</v>
      </c>
      <c r="H221" s="1">
        <v>15378336000</v>
      </c>
      <c r="I221" s="2">
        <f t="shared" si="16"/>
        <v>10.186909345536009</v>
      </c>
      <c r="J221" s="2">
        <f t="shared" si="17"/>
        <v>9.3869112109426105</v>
      </c>
      <c r="K221" s="1">
        <f t="shared" si="18"/>
        <v>4.1028797547523347E-10</v>
      </c>
      <c r="L221" s="17">
        <f t="shared" si="19"/>
        <v>622.85637285011376</v>
      </c>
    </row>
    <row r="222" spans="1:12" x14ac:dyDescent="0.3">
      <c r="A222" s="9">
        <v>0.19953000000000001</v>
      </c>
      <c r="B222" s="10" t="s">
        <v>15</v>
      </c>
      <c r="C222" s="5">
        <v>20</v>
      </c>
      <c r="D222" s="9">
        <v>628.52</v>
      </c>
      <c r="E222" s="9">
        <v>35.884</v>
      </c>
      <c r="F222" s="11">
        <v>5.7090000000000002E-2</v>
      </c>
      <c r="G222" s="12">
        <f t="shared" si="15"/>
        <v>-0.69999179744618689</v>
      </c>
      <c r="H222" s="1">
        <v>15378336000</v>
      </c>
      <c r="I222" s="2">
        <f t="shared" si="16"/>
        <v>10.186909345536009</v>
      </c>
      <c r="J222" s="2">
        <f t="shared" si="17"/>
        <v>9.4869175480898225</v>
      </c>
      <c r="K222" s="1">
        <f t="shared" si="18"/>
        <v>3.258985677996771E-10</v>
      </c>
      <c r="L222" s="17">
        <f t="shared" si="19"/>
        <v>629.54352657778952</v>
      </c>
    </row>
    <row r="223" spans="1:12" x14ac:dyDescent="0.3">
      <c r="A223" s="9">
        <v>0.25119000000000002</v>
      </c>
      <c r="B223" s="10" t="s">
        <v>15</v>
      </c>
      <c r="C223" s="5">
        <v>20</v>
      </c>
      <c r="D223" s="9">
        <v>634.80999999999995</v>
      </c>
      <c r="E223" s="9">
        <v>34.97</v>
      </c>
      <c r="F223" s="11">
        <v>5.509E-2</v>
      </c>
      <c r="G223" s="12">
        <f t="shared" si="15"/>
        <v>-0.59999765407204408</v>
      </c>
      <c r="H223" s="1">
        <v>15378336000</v>
      </c>
      <c r="I223" s="2">
        <f t="shared" si="16"/>
        <v>10.186909345536009</v>
      </c>
      <c r="J223" s="2">
        <f t="shared" si="17"/>
        <v>9.586911691463964</v>
      </c>
      <c r="K223" s="1">
        <f t="shared" si="18"/>
        <v>2.5887392504904526E-10</v>
      </c>
      <c r="L223" s="17">
        <f t="shared" si="19"/>
        <v>635.77247266612596</v>
      </c>
    </row>
    <row r="224" spans="1:12" x14ac:dyDescent="0.3">
      <c r="A224" s="9">
        <v>0.31623000000000001</v>
      </c>
      <c r="B224" s="10" t="s">
        <v>15</v>
      </c>
      <c r="C224" s="5">
        <v>20</v>
      </c>
      <c r="D224" s="9">
        <v>640.54999999999995</v>
      </c>
      <c r="E224" s="9">
        <v>34.33</v>
      </c>
      <c r="F224" s="11">
        <v>5.3589999999999999E-2</v>
      </c>
      <c r="G224" s="12">
        <f t="shared" si="15"/>
        <v>-0.4999969319483068</v>
      </c>
      <c r="H224" s="1">
        <v>15378336000</v>
      </c>
      <c r="I224" s="2">
        <f t="shared" si="16"/>
        <v>10.186909345536009</v>
      </c>
      <c r="J224" s="2">
        <f t="shared" si="17"/>
        <v>9.6869124135877023</v>
      </c>
      <c r="K224" s="1">
        <f t="shared" si="18"/>
        <v>2.0563052598763424E-10</v>
      </c>
      <c r="L224" s="17">
        <f t="shared" si="19"/>
        <v>641.46929108103052</v>
      </c>
    </row>
    <row r="225" spans="1:12" x14ac:dyDescent="0.3">
      <c r="A225" s="9">
        <v>0.39811000000000002</v>
      </c>
      <c r="B225" s="10" t="s">
        <v>15</v>
      </c>
      <c r="C225" s="5">
        <v>20</v>
      </c>
      <c r="D225" s="9">
        <v>645.89</v>
      </c>
      <c r="E225" s="9">
        <v>33.600999999999999</v>
      </c>
      <c r="F225" s="11">
        <v>5.2019999999999997E-2</v>
      </c>
      <c r="G225" s="12">
        <f t="shared" si="15"/>
        <v>-0.39999691337225962</v>
      </c>
      <c r="H225" s="1">
        <v>15378336000</v>
      </c>
      <c r="I225" s="2">
        <f t="shared" si="16"/>
        <v>10.186909345536009</v>
      </c>
      <c r="J225" s="2">
        <f t="shared" si="17"/>
        <v>9.7869124321637493</v>
      </c>
      <c r="K225" s="1">
        <f t="shared" si="18"/>
        <v>1.6333812572673307E-10</v>
      </c>
      <c r="L225" s="17">
        <f t="shared" si="19"/>
        <v>646.76341833857612</v>
      </c>
    </row>
    <row r="226" spans="1:12" x14ac:dyDescent="0.3">
      <c r="A226" s="9">
        <v>0.50119000000000002</v>
      </c>
      <c r="B226" s="10" t="s">
        <v>15</v>
      </c>
      <c r="C226" s="5">
        <v>20</v>
      </c>
      <c r="D226" s="9">
        <v>651.09</v>
      </c>
      <c r="E226" s="9">
        <v>33.283000000000001</v>
      </c>
      <c r="F226" s="11">
        <v>5.1119999999999999E-2</v>
      </c>
      <c r="G226" s="12">
        <f t="shared" si="15"/>
        <v>-0.29999760285774607</v>
      </c>
      <c r="H226" s="1">
        <v>15378336000</v>
      </c>
      <c r="I226" s="2">
        <f t="shared" si="16"/>
        <v>10.186909345536009</v>
      </c>
      <c r="J226" s="2">
        <f t="shared" si="17"/>
        <v>9.8869117426782633</v>
      </c>
      <c r="K226" s="1">
        <f t="shared" si="18"/>
        <v>1.2974429105343218E-10</v>
      </c>
      <c r="L226" s="17">
        <f t="shared" si="19"/>
        <v>651.94014003511097</v>
      </c>
    </row>
    <row r="227" spans="1:12" x14ac:dyDescent="0.3">
      <c r="A227" s="9">
        <v>0.63095999999999997</v>
      </c>
      <c r="B227" s="10" t="s">
        <v>15</v>
      </c>
      <c r="C227" s="5">
        <v>20</v>
      </c>
      <c r="D227" s="9">
        <v>656.13</v>
      </c>
      <c r="E227" s="9">
        <v>32.848999999999997</v>
      </c>
      <c r="F227" s="11">
        <v>5.006E-2</v>
      </c>
      <c r="G227" s="12">
        <f t="shared" si="15"/>
        <v>-0.19999817218203128</v>
      </c>
      <c r="H227" s="1">
        <v>15378336000</v>
      </c>
      <c r="I227" s="2">
        <f t="shared" si="16"/>
        <v>10.186909345536009</v>
      </c>
      <c r="J227" s="2">
        <f t="shared" si="17"/>
        <v>9.9869111733539775</v>
      </c>
      <c r="K227" s="1">
        <f t="shared" si="18"/>
        <v>1.030596887806987E-10</v>
      </c>
      <c r="L227" s="17">
        <f t="shared" si="19"/>
        <v>656.95177425820236</v>
      </c>
    </row>
    <row r="228" spans="1:12" x14ac:dyDescent="0.3">
      <c r="A228" s="9">
        <v>0.79432999999999998</v>
      </c>
      <c r="B228" s="10" t="s">
        <v>15</v>
      </c>
      <c r="C228" s="5">
        <v>20</v>
      </c>
      <c r="D228" s="9">
        <v>660.79</v>
      </c>
      <c r="E228" s="9">
        <v>32.427999999999997</v>
      </c>
      <c r="F228" s="11">
        <v>4.9070000000000003E-2</v>
      </c>
      <c r="G228" s="12">
        <f t="shared" si="15"/>
        <v>-9.9999034846530471E-2</v>
      </c>
      <c r="H228" s="1">
        <v>15378336000</v>
      </c>
      <c r="I228" s="2">
        <f t="shared" si="16"/>
        <v>10.186909345536009</v>
      </c>
      <c r="J228" s="2">
        <f t="shared" si="17"/>
        <v>10.086910310689479</v>
      </c>
      <c r="K228" s="1">
        <f t="shared" si="18"/>
        <v>8.1863383270264887E-11</v>
      </c>
      <c r="L228" s="17">
        <f t="shared" si="19"/>
        <v>661.58521694789999</v>
      </c>
    </row>
    <row r="229" spans="1:12" x14ac:dyDescent="0.3">
      <c r="A229" s="9">
        <v>1</v>
      </c>
      <c r="B229" s="10" t="s">
        <v>15</v>
      </c>
      <c r="C229" s="5">
        <v>20</v>
      </c>
      <c r="D229" s="9">
        <v>665.89</v>
      </c>
      <c r="E229" s="9">
        <v>32.256</v>
      </c>
      <c r="F229" s="11">
        <v>4.8439999999999997E-2</v>
      </c>
      <c r="G229" s="12">
        <f t="shared" si="15"/>
        <v>0</v>
      </c>
      <c r="H229" s="1">
        <v>15378336000</v>
      </c>
      <c r="I229" s="2">
        <f t="shared" si="16"/>
        <v>10.186909345536009</v>
      </c>
      <c r="J229" s="2">
        <f t="shared" si="17"/>
        <v>10.186909345536009</v>
      </c>
      <c r="K229" s="1">
        <f t="shared" si="18"/>
        <v>6.5026541233069764E-11</v>
      </c>
      <c r="L229" s="17">
        <f t="shared" si="19"/>
        <v>666.67078954758472</v>
      </c>
    </row>
    <row r="230" spans="1:12" x14ac:dyDescent="0.3">
      <c r="A230" s="9">
        <v>1.2589300000000001</v>
      </c>
      <c r="B230" s="10" t="s">
        <v>15</v>
      </c>
      <c r="C230" s="5">
        <v>20</v>
      </c>
      <c r="D230" s="9">
        <v>670.55</v>
      </c>
      <c r="E230" s="9">
        <v>31.882000000000001</v>
      </c>
      <c r="F230" s="11">
        <v>4.7550000000000002E-2</v>
      </c>
      <c r="G230" s="12">
        <f t="shared" si="15"/>
        <v>0.10000158280135207</v>
      </c>
      <c r="H230" s="1">
        <v>15378336000</v>
      </c>
      <c r="I230" s="2">
        <f t="shared" si="16"/>
        <v>10.186909345536009</v>
      </c>
      <c r="J230" s="2">
        <f t="shared" si="17"/>
        <v>10.286910928337361</v>
      </c>
      <c r="K230" s="1">
        <f t="shared" si="18"/>
        <v>5.1652229459199072E-11</v>
      </c>
      <c r="L230" s="17">
        <f t="shared" si="19"/>
        <v>671.30750362557387</v>
      </c>
    </row>
    <row r="231" spans="1:12" x14ac:dyDescent="0.3">
      <c r="A231" s="9">
        <v>1.5848899999999999</v>
      </c>
      <c r="B231" s="10" t="s">
        <v>15</v>
      </c>
      <c r="C231" s="5">
        <v>20</v>
      </c>
      <c r="D231" s="9">
        <v>675.2</v>
      </c>
      <c r="E231" s="9">
        <v>31.513000000000002</v>
      </c>
      <c r="F231" s="11">
        <v>4.6670000000000003E-2</v>
      </c>
      <c r="G231" s="12">
        <f t="shared" si="15"/>
        <v>0.19999912519679666</v>
      </c>
      <c r="H231" s="1">
        <v>15378336000</v>
      </c>
      <c r="I231" s="2">
        <f t="shared" si="16"/>
        <v>10.186909345536009</v>
      </c>
      <c r="J231" s="2">
        <f t="shared" si="17"/>
        <v>10.386908470732806</v>
      </c>
      <c r="K231" s="1">
        <f t="shared" si="18"/>
        <v>4.1029056422256242E-11</v>
      </c>
      <c r="L231" s="17">
        <f t="shared" si="19"/>
        <v>675.93498886283442</v>
      </c>
    </row>
    <row r="232" spans="1:12" x14ac:dyDescent="0.3">
      <c r="A232" s="9">
        <v>1.99526</v>
      </c>
      <c r="B232" s="10" t="s">
        <v>15</v>
      </c>
      <c r="C232" s="5">
        <v>20</v>
      </c>
      <c r="D232" s="9">
        <v>679.82</v>
      </c>
      <c r="E232" s="9">
        <v>31.338000000000001</v>
      </c>
      <c r="F232" s="11">
        <v>4.6100000000000002E-2</v>
      </c>
      <c r="G232" s="12">
        <f t="shared" si="15"/>
        <v>0.29999949611698379</v>
      </c>
      <c r="H232" s="1">
        <v>15378336000</v>
      </c>
      <c r="I232" s="2">
        <f t="shared" si="16"/>
        <v>10.186909345536009</v>
      </c>
      <c r="J232" s="2">
        <f t="shared" si="17"/>
        <v>10.486908841652992</v>
      </c>
      <c r="K232" s="1">
        <f t="shared" si="18"/>
        <v>3.2590510125532314E-11</v>
      </c>
      <c r="L232" s="17">
        <f t="shared" si="19"/>
        <v>680.54191835918539</v>
      </c>
    </row>
    <row r="233" spans="1:12" x14ac:dyDescent="0.3">
      <c r="A233" s="9">
        <v>2.5118900000000002</v>
      </c>
      <c r="B233" s="10" t="s">
        <v>15</v>
      </c>
      <c r="C233" s="5">
        <v>20</v>
      </c>
      <c r="D233" s="9">
        <v>684.33</v>
      </c>
      <c r="E233" s="9">
        <v>30.934000000000001</v>
      </c>
      <c r="F233" s="11">
        <v>4.5199999999999997E-2</v>
      </c>
      <c r="G233" s="12">
        <f t="shared" si="15"/>
        <v>0.40000061697637995</v>
      </c>
      <c r="H233" s="1">
        <v>15378336000</v>
      </c>
      <c r="I233" s="2">
        <f t="shared" si="16"/>
        <v>10.186909345536009</v>
      </c>
      <c r="J233" s="2">
        <f t="shared" si="17"/>
        <v>10.586909962512388</v>
      </c>
      <c r="K233" s="1">
        <f t="shared" si="18"/>
        <v>2.5887495564323997E-11</v>
      </c>
      <c r="L233" s="17">
        <f t="shared" si="19"/>
        <v>685.02880323092984</v>
      </c>
    </row>
    <row r="234" spans="1:12" x14ac:dyDescent="0.3">
      <c r="A234" s="9">
        <v>3.16228</v>
      </c>
      <c r="B234" s="10" t="s">
        <v>15</v>
      </c>
      <c r="C234" s="5">
        <v>20</v>
      </c>
      <c r="D234" s="9">
        <v>688.81</v>
      </c>
      <c r="E234" s="9">
        <v>30.774000000000001</v>
      </c>
      <c r="F234" s="11">
        <v>4.4679999999999997E-2</v>
      </c>
      <c r="G234" s="12">
        <f t="shared" si="15"/>
        <v>0.50000032134293526</v>
      </c>
      <c r="H234" s="1">
        <v>15378336000</v>
      </c>
      <c r="I234" s="2">
        <f t="shared" si="16"/>
        <v>10.186909345536009</v>
      </c>
      <c r="J234" s="2">
        <f t="shared" si="17"/>
        <v>10.686909666878943</v>
      </c>
      <c r="K234" s="1">
        <f t="shared" si="18"/>
        <v>2.0563182650830976E-11</v>
      </c>
      <c r="L234" s="17">
        <f t="shared" si="19"/>
        <v>689.49710309471197</v>
      </c>
    </row>
    <row r="235" spans="1:12" x14ac:dyDescent="0.3">
      <c r="A235" s="9">
        <v>3.9810699999999999</v>
      </c>
      <c r="B235" s="10" t="s">
        <v>15</v>
      </c>
      <c r="C235" s="5">
        <v>20</v>
      </c>
      <c r="D235" s="9">
        <v>693.04</v>
      </c>
      <c r="E235" s="9">
        <v>30.571000000000002</v>
      </c>
      <c r="F235" s="11">
        <v>4.4110000000000003E-2</v>
      </c>
      <c r="G235" s="12">
        <f t="shared" si="15"/>
        <v>0.59999981394342006</v>
      </c>
      <c r="H235" s="1">
        <v>15378336000</v>
      </c>
      <c r="I235" s="2">
        <f t="shared" si="16"/>
        <v>10.186909345536009</v>
      </c>
      <c r="J235" s="2">
        <f t="shared" si="17"/>
        <v>10.786909159479428</v>
      </c>
      <c r="K235" s="1">
        <f t="shared" si="18"/>
        <v>1.6333935658772592E-11</v>
      </c>
      <c r="L235" s="17">
        <f t="shared" si="19"/>
        <v>693.71393790308116</v>
      </c>
    </row>
    <row r="236" spans="1:12" x14ac:dyDescent="0.3">
      <c r="A236" s="9">
        <v>5.01187</v>
      </c>
      <c r="B236" s="10" t="s">
        <v>15</v>
      </c>
      <c r="C236" s="5">
        <v>20</v>
      </c>
      <c r="D236" s="9">
        <v>697.51</v>
      </c>
      <c r="E236" s="9">
        <v>30.463000000000001</v>
      </c>
      <c r="F236" s="11">
        <v>4.367E-2</v>
      </c>
      <c r="G236" s="12">
        <f t="shared" si="15"/>
        <v>0.69999979755458241</v>
      </c>
      <c r="H236" s="1">
        <v>15378336000</v>
      </c>
      <c r="I236" s="2">
        <f t="shared" si="16"/>
        <v>10.186909345536009</v>
      </c>
      <c r="J236" s="2">
        <f t="shared" si="17"/>
        <v>10.886909143090591</v>
      </c>
      <c r="K236" s="1">
        <f t="shared" si="18"/>
        <v>1.2974506767547773E-11</v>
      </c>
      <c r="L236" s="17">
        <f t="shared" si="19"/>
        <v>698.17490249148887</v>
      </c>
    </row>
    <row r="237" spans="1:12" x14ac:dyDescent="0.3">
      <c r="A237" s="9">
        <v>6.3095800000000004</v>
      </c>
      <c r="B237" s="10" t="s">
        <v>15</v>
      </c>
      <c r="C237" s="5">
        <v>20</v>
      </c>
      <c r="D237" s="9">
        <v>701.84</v>
      </c>
      <c r="E237" s="9">
        <v>30.326000000000001</v>
      </c>
      <c r="F237" s="11">
        <v>4.3209999999999998E-2</v>
      </c>
      <c r="G237" s="12">
        <f t="shared" si="15"/>
        <v>0.80000045120084495</v>
      </c>
      <c r="H237" s="1">
        <v>15378336000</v>
      </c>
      <c r="I237" s="2">
        <f t="shared" si="16"/>
        <v>10.186909345536009</v>
      </c>
      <c r="J237" s="2">
        <f t="shared" si="17"/>
        <v>10.986909796736853</v>
      </c>
      <c r="K237" s="1">
        <f t="shared" si="18"/>
        <v>1.0306001545755757E-11</v>
      </c>
      <c r="L237" s="17">
        <f t="shared" si="19"/>
        <v>702.49487676138961</v>
      </c>
    </row>
    <row r="238" spans="1:12" x14ac:dyDescent="0.3">
      <c r="A238" s="9">
        <v>7.9432900000000002</v>
      </c>
      <c r="B238" s="10" t="s">
        <v>15</v>
      </c>
      <c r="C238" s="5">
        <v>20</v>
      </c>
      <c r="D238" s="9">
        <v>706.38</v>
      </c>
      <c r="E238" s="9">
        <v>30.308</v>
      </c>
      <c r="F238" s="11">
        <v>4.2909999999999997E-2</v>
      </c>
      <c r="G238" s="12">
        <f t="shared" si="15"/>
        <v>0.90000041840998102</v>
      </c>
      <c r="H238" s="1">
        <v>15378336000</v>
      </c>
      <c r="I238" s="2">
        <f t="shared" si="16"/>
        <v>10.186909345536009</v>
      </c>
      <c r="J238" s="2">
        <f t="shared" si="17"/>
        <v>11.086909763945989</v>
      </c>
      <c r="K238" s="1">
        <f t="shared" si="18"/>
        <v>8.1863486330059428E-12</v>
      </c>
      <c r="L238" s="17">
        <f t="shared" si="19"/>
        <v>707.02989983734074</v>
      </c>
    </row>
    <row r="239" spans="1:12" x14ac:dyDescent="0.3">
      <c r="A239" s="9">
        <v>10</v>
      </c>
      <c r="B239" s="10" t="s">
        <v>15</v>
      </c>
      <c r="C239" s="5">
        <v>20</v>
      </c>
      <c r="D239" s="9">
        <v>710.63</v>
      </c>
      <c r="E239" s="9">
        <v>30.204999999999998</v>
      </c>
      <c r="F239" s="11">
        <v>4.2500000000000003E-2</v>
      </c>
      <c r="G239" s="12">
        <f t="shared" si="15"/>
        <v>1</v>
      </c>
      <c r="H239" s="1">
        <v>15378336000</v>
      </c>
      <c r="I239" s="2">
        <f t="shared" si="16"/>
        <v>10.186909345536009</v>
      </c>
      <c r="J239" s="2">
        <f t="shared" si="17"/>
        <v>11.186909345536009</v>
      </c>
      <c r="K239" s="1">
        <f t="shared" si="18"/>
        <v>6.5026541233069704E-12</v>
      </c>
      <c r="L239" s="17">
        <f t="shared" si="19"/>
        <v>711.27163511910135</v>
      </c>
    </row>
    <row r="240" spans="1:12" x14ac:dyDescent="0.3">
      <c r="A240" s="9">
        <v>12.5893</v>
      </c>
      <c r="B240" s="10" t="s">
        <v>15</v>
      </c>
      <c r="C240" s="5">
        <v>20</v>
      </c>
      <c r="D240" s="9">
        <v>715.03</v>
      </c>
      <c r="E240" s="9">
        <v>30.193999999999999</v>
      </c>
      <c r="F240" s="11">
        <v>4.2229999999999997E-2</v>
      </c>
      <c r="G240" s="12">
        <f t="shared" si="15"/>
        <v>1.1000015828013521</v>
      </c>
      <c r="H240" s="1">
        <v>15378336000</v>
      </c>
      <c r="I240" s="2">
        <f t="shared" si="16"/>
        <v>10.186909345536009</v>
      </c>
      <c r="J240" s="2">
        <f t="shared" si="17"/>
        <v>11.286910928337361</v>
      </c>
      <c r="K240" s="1">
        <f t="shared" si="18"/>
        <v>5.1652229459199197E-12</v>
      </c>
      <c r="L240" s="17">
        <f t="shared" si="19"/>
        <v>715.66722611560181</v>
      </c>
    </row>
    <row r="241" spans="1:12" x14ac:dyDescent="0.3">
      <c r="A241" s="9">
        <v>15.8489</v>
      </c>
      <c r="B241" s="10" t="s">
        <v>15</v>
      </c>
      <c r="C241" s="5">
        <v>20</v>
      </c>
      <c r="D241" s="9">
        <v>719.44</v>
      </c>
      <c r="E241" s="9">
        <v>30.068000000000001</v>
      </c>
      <c r="F241" s="11">
        <v>4.1790000000000001E-2</v>
      </c>
      <c r="G241" s="12">
        <f t="shared" si="15"/>
        <v>1.1999991251967967</v>
      </c>
      <c r="H241" s="1">
        <v>15378336000</v>
      </c>
      <c r="I241" s="2">
        <f t="shared" si="16"/>
        <v>10.186909345536009</v>
      </c>
      <c r="J241" s="2">
        <f t="shared" si="17"/>
        <v>11.386908470732806</v>
      </c>
      <c r="K241" s="1">
        <f t="shared" si="18"/>
        <v>4.1029056422256197E-12</v>
      </c>
      <c r="L241" s="17">
        <f t="shared" si="19"/>
        <v>720.06805110628261</v>
      </c>
    </row>
    <row r="242" spans="1:12" x14ac:dyDescent="0.3">
      <c r="A242" s="9">
        <v>19.9526</v>
      </c>
      <c r="B242" s="10" t="s">
        <v>15</v>
      </c>
      <c r="C242" s="5">
        <v>20</v>
      </c>
      <c r="D242" s="9">
        <v>723.66</v>
      </c>
      <c r="E242" s="9">
        <v>30.186</v>
      </c>
      <c r="F242" s="11">
        <v>4.1709999999999997E-2</v>
      </c>
      <c r="G242" s="12">
        <f t="shared" si="15"/>
        <v>1.2999994961169838</v>
      </c>
      <c r="H242" s="1">
        <v>15378336000</v>
      </c>
      <c r="I242" s="2">
        <f t="shared" si="16"/>
        <v>10.186909345536009</v>
      </c>
      <c r="J242" s="2">
        <f t="shared" si="17"/>
        <v>11.486908841652992</v>
      </c>
      <c r="K242" s="1">
        <f t="shared" si="18"/>
        <v>3.2590510125532398E-12</v>
      </c>
      <c r="L242" s="17">
        <f t="shared" si="19"/>
        <v>724.28930007007557</v>
      </c>
    </row>
    <row r="243" spans="1:12" x14ac:dyDescent="0.3">
      <c r="A243" s="9">
        <v>25.1189</v>
      </c>
      <c r="B243" s="10" t="s">
        <v>15</v>
      </c>
      <c r="C243" s="5">
        <v>20</v>
      </c>
      <c r="D243" s="9">
        <v>727.96</v>
      </c>
      <c r="E243" s="9">
        <v>30.16</v>
      </c>
      <c r="F243" s="11">
        <v>4.1430000000000002E-2</v>
      </c>
      <c r="G243" s="12">
        <f t="shared" si="15"/>
        <v>1.4000006169763799</v>
      </c>
      <c r="H243" s="1">
        <v>15378336000</v>
      </c>
      <c r="I243" s="2">
        <f t="shared" si="16"/>
        <v>10.186909345536009</v>
      </c>
      <c r="J243" s="2">
        <f t="shared" si="17"/>
        <v>11.586909962512388</v>
      </c>
      <c r="K243" s="1">
        <f t="shared" si="18"/>
        <v>2.5887495564323968E-12</v>
      </c>
      <c r="L243" s="17">
        <f t="shared" si="19"/>
        <v>728.58450930554386</v>
      </c>
    </row>
    <row r="244" spans="1:12" x14ac:dyDescent="0.3">
      <c r="A244" s="9">
        <v>31.622800000000002</v>
      </c>
      <c r="B244" s="10" t="s">
        <v>15</v>
      </c>
      <c r="C244" s="5">
        <v>20</v>
      </c>
      <c r="D244" s="9">
        <v>732.26</v>
      </c>
      <c r="E244" s="9">
        <v>30.611000000000001</v>
      </c>
      <c r="F244" s="11">
        <v>4.1799999999999997E-2</v>
      </c>
      <c r="G244" s="12">
        <f t="shared" si="15"/>
        <v>1.5000003213429354</v>
      </c>
      <c r="H244" s="1">
        <v>15378336000</v>
      </c>
      <c r="I244" s="2">
        <f t="shared" si="16"/>
        <v>10.186909345536009</v>
      </c>
      <c r="J244" s="2">
        <f t="shared" si="17"/>
        <v>11.686909666878943</v>
      </c>
      <c r="K244" s="1">
        <f t="shared" si="18"/>
        <v>2.0563182650830953E-12</v>
      </c>
      <c r="L244" s="17">
        <f t="shared" si="19"/>
        <v>732.89954353990424</v>
      </c>
    </row>
    <row r="245" spans="1:12" x14ac:dyDescent="0.3">
      <c r="A245" s="9">
        <v>39.810699999999997</v>
      </c>
      <c r="B245" s="10" t="s">
        <v>15</v>
      </c>
      <c r="C245" s="5">
        <v>20</v>
      </c>
      <c r="D245" s="9">
        <v>736.41</v>
      </c>
      <c r="E245" s="9">
        <v>30.486999999999998</v>
      </c>
      <c r="F245" s="11">
        <v>4.1399999999999999E-2</v>
      </c>
      <c r="G245" s="12">
        <f t="shared" si="15"/>
        <v>1.5999998139434199</v>
      </c>
      <c r="H245" s="1">
        <v>15378336000</v>
      </c>
      <c r="I245" s="2">
        <f t="shared" si="16"/>
        <v>10.186909345536009</v>
      </c>
      <c r="J245" s="2">
        <f t="shared" si="17"/>
        <v>11.786909159479428</v>
      </c>
      <c r="K245" s="1">
        <f t="shared" si="18"/>
        <v>1.6333935658772575E-12</v>
      </c>
      <c r="L245" s="17">
        <f t="shared" si="19"/>
        <v>737.0408029878671</v>
      </c>
    </row>
    <row r="246" spans="1:12" x14ac:dyDescent="0.3">
      <c r="A246" s="9">
        <v>50.1188</v>
      </c>
      <c r="B246" s="10" t="s">
        <v>15</v>
      </c>
      <c r="C246" s="5">
        <v>20</v>
      </c>
      <c r="D246" s="9">
        <v>740.5</v>
      </c>
      <c r="E246" s="9">
        <v>30.594000000000001</v>
      </c>
      <c r="F246" s="11">
        <v>4.1320000000000003E-2</v>
      </c>
      <c r="G246" s="12">
        <f t="shared" si="15"/>
        <v>1.7000006640855352</v>
      </c>
      <c r="H246" s="1">
        <v>15378336000</v>
      </c>
      <c r="I246" s="2">
        <f t="shared" si="16"/>
        <v>10.186909345536009</v>
      </c>
      <c r="J246" s="2">
        <f t="shared" si="17"/>
        <v>11.886910009621545</v>
      </c>
      <c r="K246" s="1">
        <f t="shared" si="18"/>
        <v>1.2974480880042942E-12</v>
      </c>
      <c r="L246" s="17">
        <f t="shared" si="19"/>
        <v>741.13173109508682</v>
      </c>
    </row>
    <row r="247" spans="1:12" x14ac:dyDescent="0.3">
      <c r="A247" s="9">
        <v>63.095799999999997</v>
      </c>
      <c r="B247" s="10" t="s">
        <v>15</v>
      </c>
      <c r="C247" s="5">
        <v>20</v>
      </c>
      <c r="D247" s="9">
        <v>744.73</v>
      </c>
      <c r="E247" s="9">
        <v>30.602</v>
      </c>
      <c r="F247" s="11">
        <v>4.1090000000000002E-2</v>
      </c>
      <c r="G247" s="12">
        <f t="shared" si="15"/>
        <v>1.800000451200845</v>
      </c>
      <c r="H247" s="1">
        <v>15378336000</v>
      </c>
      <c r="I247" s="2">
        <f t="shared" si="16"/>
        <v>10.186909345536009</v>
      </c>
      <c r="J247" s="2">
        <f t="shared" si="17"/>
        <v>11.986909796736853</v>
      </c>
      <c r="K247" s="1">
        <f t="shared" si="18"/>
        <v>1.0306001545755784E-12</v>
      </c>
      <c r="L247" s="17">
        <f t="shared" si="19"/>
        <v>745.35847436250435</v>
      </c>
    </row>
    <row r="248" spans="1:12" x14ac:dyDescent="0.3">
      <c r="A248" s="9">
        <v>79.432900000000004</v>
      </c>
      <c r="B248" s="10" t="s">
        <v>15</v>
      </c>
      <c r="C248" s="5">
        <v>20</v>
      </c>
      <c r="D248" s="9">
        <v>748.55</v>
      </c>
      <c r="E248" s="9">
        <v>30.753</v>
      </c>
      <c r="F248" s="11">
        <v>4.1079999999999998E-2</v>
      </c>
      <c r="G248" s="12">
        <f t="shared" si="15"/>
        <v>1.900000418409981</v>
      </c>
      <c r="H248" s="1">
        <v>15378336000</v>
      </c>
      <c r="I248" s="2">
        <f t="shared" si="16"/>
        <v>10.186909345536009</v>
      </c>
      <c r="J248" s="2">
        <f t="shared" si="17"/>
        <v>12.086909763945989</v>
      </c>
      <c r="K248" s="1">
        <f t="shared" si="18"/>
        <v>8.186348633005934E-13</v>
      </c>
      <c r="L248" s="17">
        <f t="shared" si="19"/>
        <v>749.18145299319838</v>
      </c>
    </row>
    <row r="249" spans="1:12" x14ac:dyDescent="0.3">
      <c r="A249" s="9">
        <v>100</v>
      </c>
      <c r="B249" s="10" t="s">
        <v>15</v>
      </c>
      <c r="C249" s="5">
        <v>20</v>
      </c>
      <c r="D249" s="9">
        <v>752.3</v>
      </c>
      <c r="E249" s="9">
        <v>30.61</v>
      </c>
      <c r="F249" s="11">
        <v>4.0689999999999997E-2</v>
      </c>
      <c r="G249" s="12">
        <f t="shared" si="15"/>
        <v>2</v>
      </c>
      <c r="H249" s="1">
        <v>15378336000</v>
      </c>
      <c r="I249" s="2">
        <f t="shared" si="16"/>
        <v>10.186909345536009</v>
      </c>
      <c r="J249" s="2">
        <f t="shared" si="17"/>
        <v>12.186909345536009</v>
      </c>
      <c r="K249" s="1">
        <f t="shared" si="18"/>
        <v>6.5026541233069626E-13</v>
      </c>
      <c r="L249" s="17">
        <f t="shared" si="19"/>
        <v>752.92248080396689</v>
      </c>
    </row>
    <row r="250" spans="1:12" x14ac:dyDescent="0.3">
      <c r="A250" s="4">
        <v>0.1</v>
      </c>
      <c r="B250" s="5" t="s">
        <v>16</v>
      </c>
      <c r="C250" s="5">
        <v>30</v>
      </c>
      <c r="D250" s="4">
        <v>543.29</v>
      </c>
      <c r="E250" s="4">
        <v>43.16</v>
      </c>
      <c r="F250" s="6">
        <v>7.9439999999999997E-2</v>
      </c>
      <c r="G250" s="7">
        <f t="shared" si="15"/>
        <v>-1</v>
      </c>
      <c r="H250" s="1">
        <v>763200000</v>
      </c>
      <c r="I250" s="2">
        <f t="shared" si="16"/>
        <v>8.8826383616960385</v>
      </c>
      <c r="J250" s="2">
        <f t="shared" si="17"/>
        <v>7.8826383616960385</v>
      </c>
      <c r="K250" s="1">
        <f t="shared" si="18"/>
        <v>1.310272536687628E-8</v>
      </c>
      <c r="L250" s="17">
        <f t="shared" si="19"/>
        <v>545.00166027270041</v>
      </c>
    </row>
    <row r="251" spans="1:12" x14ac:dyDescent="0.3">
      <c r="A251" s="4">
        <v>0.12589</v>
      </c>
      <c r="B251" s="5" t="s">
        <v>16</v>
      </c>
      <c r="C251" s="5">
        <v>30</v>
      </c>
      <c r="D251" s="4">
        <v>552.25</v>
      </c>
      <c r="E251" s="4">
        <v>39.051000000000002</v>
      </c>
      <c r="F251" s="6">
        <v>7.0709999999999995E-2</v>
      </c>
      <c r="G251" s="7">
        <f t="shared" si="15"/>
        <v>-0.90000876645531558</v>
      </c>
      <c r="H251" s="1">
        <v>763200000</v>
      </c>
      <c r="I251" s="2">
        <f t="shared" si="16"/>
        <v>8.8826383616960385</v>
      </c>
      <c r="J251" s="2">
        <f t="shared" si="17"/>
        <v>7.9826295952407227</v>
      </c>
      <c r="K251" s="1">
        <f t="shared" si="18"/>
        <v>1.0408074800918492E-8</v>
      </c>
      <c r="L251" s="17">
        <f t="shared" si="19"/>
        <v>553.62897603087936</v>
      </c>
    </row>
    <row r="252" spans="1:12" x14ac:dyDescent="0.3">
      <c r="A252" s="4">
        <v>0.15848999999999999</v>
      </c>
      <c r="B252" s="5" t="s">
        <v>16</v>
      </c>
      <c r="C252" s="5">
        <v>30</v>
      </c>
      <c r="D252" s="4">
        <v>559.91</v>
      </c>
      <c r="E252" s="4">
        <v>37.447000000000003</v>
      </c>
      <c r="F252" s="6">
        <v>6.6879999999999995E-2</v>
      </c>
      <c r="G252" s="7">
        <f t="shared" si="15"/>
        <v>-0.79999813459339819</v>
      </c>
      <c r="H252" s="1">
        <v>763200000</v>
      </c>
      <c r="I252" s="2">
        <f t="shared" si="16"/>
        <v>8.8826383616960385</v>
      </c>
      <c r="J252" s="2">
        <f t="shared" si="17"/>
        <v>8.0826402271026403</v>
      </c>
      <c r="K252" s="1">
        <f t="shared" si="18"/>
        <v>8.267225293000384E-9</v>
      </c>
      <c r="L252" s="17">
        <f t="shared" si="19"/>
        <v>561.16083782548469</v>
      </c>
    </row>
    <row r="253" spans="1:12" x14ac:dyDescent="0.3">
      <c r="A253" s="4">
        <v>0.19953000000000001</v>
      </c>
      <c r="B253" s="5" t="s">
        <v>16</v>
      </c>
      <c r="C253" s="5">
        <v>30</v>
      </c>
      <c r="D253" s="4">
        <v>566.72</v>
      </c>
      <c r="E253" s="4">
        <v>36.247999999999998</v>
      </c>
      <c r="F253" s="6">
        <v>6.3960000000000003E-2</v>
      </c>
      <c r="G253" s="7">
        <f t="shared" si="15"/>
        <v>-0.69999179744618689</v>
      </c>
      <c r="H253" s="1">
        <v>763200000</v>
      </c>
      <c r="I253" s="2">
        <f t="shared" si="16"/>
        <v>8.8826383616960385</v>
      </c>
      <c r="J253" s="2">
        <f t="shared" si="17"/>
        <v>8.1826465642498523</v>
      </c>
      <c r="K253" s="1">
        <f t="shared" si="18"/>
        <v>6.5667946508676736E-9</v>
      </c>
      <c r="L253" s="17">
        <f t="shared" si="19"/>
        <v>567.87804668256024</v>
      </c>
    </row>
    <row r="254" spans="1:12" x14ac:dyDescent="0.3">
      <c r="A254" s="4">
        <v>0.25119000000000002</v>
      </c>
      <c r="B254" s="5" t="s">
        <v>16</v>
      </c>
      <c r="C254" s="5">
        <v>30</v>
      </c>
      <c r="D254" s="4">
        <v>572.95000000000005</v>
      </c>
      <c r="E254" s="4">
        <v>35.331000000000003</v>
      </c>
      <c r="F254" s="6">
        <v>6.1670000000000003E-2</v>
      </c>
      <c r="G254" s="7">
        <f t="shared" si="15"/>
        <v>-0.59999765407204408</v>
      </c>
      <c r="H254" s="1">
        <v>763200000</v>
      </c>
      <c r="I254" s="2">
        <f t="shared" si="16"/>
        <v>8.8826383616960385</v>
      </c>
      <c r="J254" s="2">
        <f t="shared" si="17"/>
        <v>8.2826407076239938</v>
      </c>
      <c r="K254" s="1">
        <f t="shared" si="18"/>
        <v>5.2162607456014536E-9</v>
      </c>
      <c r="L254" s="17">
        <f t="shared" si="19"/>
        <v>574.03831062133827</v>
      </c>
    </row>
    <row r="255" spans="1:12" x14ac:dyDescent="0.3">
      <c r="A255" s="4">
        <v>0.31623000000000001</v>
      </c>
      <c r="B255" s="5" t="s">
        <v>16</v>
      </c>
      <c r="C255" s="5">
        <v>30</v>
      </c>
      <c r="D255" s="4">
        <v>578.65</v>
      </c>
      <c r="E255" s="4">
        <v>34.673000000000002</v>
      </c>
      <c r="F255" s="6">
        <v>5.9920000000000001E-2</v>
      </c>
      <c r="G255" s="7">
        <f t="shared" si="15"/>
        <v>-0.4999969319483068</v>
      </c>
      <c r="H255" s="1">
        <v>763200000</v>
      </c>
      <c r="I255" s="2">
        <f t="shared" si="16"/>
        <v>8.8826383616960385</v>
      </c>
      <c r="J255" s="2">
        <f t="shared" si="17"/>
        <v>8.3826414297477321</v>
      </c>
      <c r="K255" s="1">
        <f t="shared" si="18"/>
        <v>4.1434163004383741E-9</v>
      </c>
      <c r="L255" s="17">
        <f t="shared" si="19"/>
        <v>579.68788104375608</v>
      </c>
    </row>
    <row r="256" spans="1:12" x14ac:dyDescent="0.3">
      <c r="A256" s="4">
        <v>0.39811000000000002</v>
      </c>
      <c r="B256" s="5" t="s">
        <v>16</v>
      </c>
      <c r="C256" s="5">
        <v>30</v>
      </c>
      <c r="D256" s="4">
        <v>584.34</v>
      </c>
      <c r="E256" s="4">
        <v>33.981999999999999</v>
      </c>
      <c r="F256" s="6">
        <v>5.815E-2</v>
      </c>
      <c r="G256" s="7">
        <f t="shared" si="15"/>
        <v>-0.39999691337225962</v>
      </c>
      <c r="H256" s="1">
        <v>763200000</v>
      </c>
      <c r="I256" s="2">
        <f t="shared" si="16"/>
        <v>8.8826383616960385</v>
      </c>
      <c r="J256" s="2">
        <f t="shared" si="17"/>
        <v>8.4826414483237791</v>
      </c>
      <c r="K256" s="1">
        <f t="shared" si="18"/>
        <v>3.2912324148793786E-9</v>
      </c>
      <c r="L256" s="17">
        <f t="shared" si="19"/>
        <v>585.32726907602728</v>
      </c>
    </row>
    <row r="257" spans="1:12" x14ac:dyDescent="0.3">
      <c r="A257" s="4">
        <v>0.50119000000000002</v>
      </c>
      <c r="B257" s="5" t="s">
        <v>16</v>
      </c>
      <c r="C257" s="5">
        <v>30</v>
      </c>
      <c r="D257" s="4">
        <v>589.48</v>
      </c>
      <c r="E257" s="4">
        <v>33.465000000000003</v>
      </c>
      <c r="F257" s="6">
        <v>5.6770000000000001E-2</v>
      </c>
      <c r="G257" s="7">
        <f t="shared" si="15"/>
        <v>-0.29999760285774607</v>
      </c>
      <c r="H257" s="1">
        <v>763200000</v>
      </c>
      <c r="I257" s="2">
        <f t="shared" si="16"/>
        <v>8.8826383616960385</v>
      </c>
      <c r="J257" s="2">
        <f t="shared" si="17"/>
        <v>8.5826407588382931</v>
      </c>
      <c r="K257" s="1">
        <f t="shared" si="18"/>
        <v>2.6143229846717393E-9</v>
      </c>
      <c r="L257" s="17">
        <f t="shared" si="19"/>
        <v>590.42914615133964</v>
      </c>
    </row>
    <row r="258" spans="1:12" x14ac:dyDescent="0.3">
      <c r="A258" s="4">
        <v>0.63095999999999997</v>
      </c>
      <c r="B258" s="5" t="s">
        <v>16</v>
      </c>
      <c r="C258" s="5">
        <v>30</v>
      </c>
      <c r="D258" s="4">
        <v>594.61</v>
      </c>
      <c r="E258" s="4">
        <v>32.905999999999999</v>
      </c>
      <c r="F258" s="6">
        <v>5.534E-2</v>
      </c>
      <c r="G258" s="7">
        <f t="shared" si="15"/>
        <v>-0.19999817218203128</v>
      </c>
      <c r="H258" s="1">
        <v>763200000</v>
      </c>
      <c r="I258" s="2">
        <f t="shared" si="16"/>
        <v>8.8826383616960385</v>
      </c>
      <c r="J258" s="2">
        <f t="shared" si="17"/>
        <v>8.6826401895140073</v>
      </c>
      <c r="K258" s="1">
        <f t="shared" si="18"/>
        <v>2.0766332837067781E-9</v>
      </c>
      <c r="L258" s="17">
        <f t="shared" si="19"/>
        <v>595.51982077509399</v>
      </c>
    </row>
    <row r="259" spans="1:12" x14ac:dyDescent="0.3">
      <c r="A259" s="4">
        <v>0.79432999999999998</v>
      </c>
      <c r="B259" s="5" t="s">
        <v>16</v>
      </c>
      <c r="C259" s="5">
        <v>30</v>
      </c>
      <c r="D259" s="4">
        <v>599.52</v>
      </c>
      <c r="E259" s="4">
        <v>32.356999999999999</v>
      </c>
      <c r="F259" s="6">
        <v>5.3969999999999997E-2</v>
      </c>
      <c r="G259" s="7">
        <f t="shared" ref="G259:G322" si="20">LOG(A259)</f>
        <v>-9.9999034846530471E-2</v>
      </c>
      <c r="H259" s="1">
        <v>763200000</v>
      </c>
      <c r="I259" s="2">
        <f t="shared" ref="I259:I322" si="21">LOG(H259)</f>
        <v>8.8826383616960385</v>
      </c>
      <c r="J259" s="2">
        <f t="shared" ref="J259:J322" si="22">G259+I259</f>
        <v>8.7826393268495089</v>
      </c>
      <c r="K259" s="1">
        <f t="shared" ref="K259:K322" si="23">1/10^J259</f>
        <v>1.6495317269744639E-9</v>
      </c>
      <c r="L259" s="17">
        <f t="shared" ref="L259:L322" si="24">SQRT(D259^2+E259^2)</f>
        <v>600.3925431324077</v>
      </c>
    </row>
    <row r="260" spans="1:12" x14ac:dyDescent="0.3">
      <c r="A260" s="4">
        <v>1</v>
      </c>
      <c r="B260" s="5" t="s">
        <v>16</v>
      </c>
      <c r="C260" s="5">
        <v>30</v>
      </c>
      <c r="D260" s="4">
        <v>604.28</v>
      </c>
      <c r="E260" s="4">
        <v>32.289000000000001</v>
      </c>
      <c r="F260" s="6">
        <v>5.3429999999999998E-2</v>
      </c>
      <c r="G260" s="7">
        <f t="shared" si="20"/>
        <v>0</v>
      </c>
      <c r="H260" s="1">
        <v>763200000</v>
      </c>
      <c r="I260" s="2">
        <f t="shared" si="21"/>
        <v>8.8826383616960385</v>
      </c>
      <c r="J260" s="2">
        <f t="shared" si="22"/>
        <v>8.8826383616960385</v>
      </c>
      <c r="K260" s="1">
        <f t="shared" si="23"/>
        <v>1.3102725366876309E-9</v>
      </c>
      <c r="L260" s="17">
        <f t="shared" si="24"/>
        <v>605.14204772185508</v>
      </c>
    </row>
    <row r="261" spans="1:12" x14ac:dyDescent="0.3">
      <c r="A261" s="4">
        <v>1.2589300000000001</v>
      </c>
      <c r="B261" s="5" t="s">
        <v>16</v>
      </c>
      <c r="C261" s="5">
        <v>30</v>
      </c>
      <c r="D261" s="4">
        <v>608.78</v>
      </c>
      <c r="E261" s="4">
        <v>31.707999999999998</v>
      </c>
      <c r="F261" s="6">
        <v>5.2089999999999997E-2</v>
      </c>
      <c r="G261" s="7">
        <f t="shared" si="20"/>
        <v>0.10000158280135207</v>
      </c>
      <c r="H261" s="1">
        <v>763200000</v>
      </c>
      <c r="I261" s="2">
        <f t="shared" si="21"/>
        <v>8.8826383616960385</v>
      </c>
      <c r="J261" s="2">
        <f t="shared" si="22"/>
        <v>8.9826399444973912</v>
      </c>
      <c r="K261" s="1">
        <f t="shared" si="23"/>
        <v>1.0407826778991885E-9</v>
      </c>
      <c r="L261" s="17">
        <f t="shared" si="24"/>
        <v>609.60518835062419</v>
      </c>
    </row>
    <row r="262" spans="1:12" x14ac:dyDescent="0.3">
      <c r="A262" s="4">
        <v>1.5848899999999999</v>
      </c>
      <c r="B262" s="5" t="s">
        <v>16</v>
      </c>
      <c r="C262" s="5">
        <v>30</v>
      </c>
      <c r="D262" s="4">
        <v>613.41999999999996</v>
      </c>
      <c r="E262" s="4">
        <v>31.459</v>
      </c>
      <c r="F262" s="6">
        <v>5.1290000000000002E-2</v>
      </c>
      <c r="G262" s="7">
        <f t="shared" si="20"/>
        <v>0.19999912519679666</v>
      </c>
      <c r="H262" s="1">
        <v>763200000</v>
      </c>
      <c r="I262" s="2">
        <f t="shared" si="21"/>
        <v>8.8826383616960385</v>
      </c>
      <c r="J262" s="2">
        <f t="shared" si="22"/>
        <v>9.0826374868928355</v>
      </c>
      <c r="K262" s="1">
        <f t="shared" si="23"/>
        <v>8.2672774557706175E-10</v>
      </c>
      <c r="L262" s="17">
        <f t="shared" si="24"/>
        <v>614.2261514141187</v>
      </c>
    </row>
    <row r="263" spans="1:12" x14ac:dyDescent="0.3">
      <c r="A263" s="4">
        <v>1.99526</v>
      </c>
      <c r="B263" s="5" t="s">
        <v>16</v>
      </c>
      <c r="C263" s="5">
        <v>30</v>
      </c>
      <c r="D263" s="4">
        <v>618.21</v>
      </c>
      <c r="E263" s="4">
        <v>31.331</v>
      </c>
      <c r="F263" s="6">
        <v>5.0680000000000003E-2</v>
      </c>
      <c r="G263" s="7">
        <f t="shared" si="20"/>
        <v>0.29999949611698379</v>
      </c>
      <c r="H263" s="1">
        <v>763200000</v>
      </c>
      <c r="I263" s="2">
        <f t="shared" si="21"/>
        <v>8.8826383616960385</v>
      </c>
      <c r="J263" s="2">
        <f t="shared" si="22"/>
        <v>9.1826378578130221</v>
      </c>
      <c r="K263" s="1">
        <f t="shared" si="23"/>
        <v>6.5669262987662143E-10</v>
      </c>
      <c r="L263" s="17">
        <f t="shared" si="24"/>
        <v>619.00342136453503</v>
      </c>
    </row>
    <row r="264" spans="1:12" x14ac:dyDescent="0.3">
      <c r="A264" s="4">
        <v>2.5118900000000002</v>
      </c>
      <c r="B264" s="5" t="s">
        <v>16</v>
      </c>
      <c r="C264" s="5">
        <v>30</v>
      </c>
      <c r="D264" s="4">
        <v>622.83000000000004</v>
      </c>
      <c r="E264" s="4">
        <v>30.765999999999998</v>
      </c>
      <c r="F264" s="6">
        <v>4.9399999999999999E-2</v>
      </c>
      <c r="G264" s="7">
        <f t="shared" si="20"/>
        <v>0.40000061697637995</v>
      </c>
      <c r="H264" s="1">
        <v>763200000</v>
      </c>
      <c r="I264" s="2">
        <f t="shared" si="21"/>
        <v>8.8826383616960385</v>
      </c>
      <c r="J264" s="2">
        <f t="shared" si="22"/>
        <v>9.2826389786724182</v>
      </c>
      <c r="K264" s="1">
        <f t="shared" si="23"/>
        <v>5.216281511880025E-10</v>
      </c>
      <c r="L264" s="17">
        <f t="shared" si="24"/>
        <v>623.58941271961953</v>
      </c>
    </row>
    <row r="265" spans="1:12" x14ac:dyDescent="0.3">
      <c r="A265" s="4">
        <v>3.16228</v>
      </c>
      <c r="B265" s="5" t="s">
        <v>16</v>
      </c>
      <c r="C265" s="5">
        <v>30</v>
      </c>
      <c r="D265" s="4">
        <v>627.13</v>
      </c>
      <c r="E265" s="4">
        <v>30.501999999999999</v>
      </c>
      <c r="F265" s="6">
        <v>4.8640000000000003E-2</v>
      </c>
      <c r="G265" s="7">
        <f t="shared" si="20"/>
        <v>0.50000032134293526</v>
      </c>
      <c r="H265" s="1">
        <v>763200000</v>
      </c>
      <c r="I265" s="2">
        <f t="shared" si="21"/>
        <v>8.8826383616960385</v>
      </c>
      <c r="J265" s="2">
        <f t="shared" si="22"/>
        <v>9.382638683038973</v>
      </c>
      <c r="K265" s="1">
        <f t="shared" si="23"/>
        <v>4.1434425056846044E-10</v>
      </c>
      <c r="L265" s="17">
        <f t="shared" si="24"/>
        <v>627.87133148759074</v>
      </c>
    </row>
    <row r="266" spans="1:12" x14ac:dyDescent="0.3">
      <c r="A266" s="4">
        <v>3.9810699999999999</v>
      </c>
      <c r="B266" s="5" t="s">
        <v>16</v>
      </c>
      <c r="C266" s="5">
        <v>30</v>
      </c>
      <c r="D266" s="4">
        <v>631.64</v>
      </c>
      <c r="E266" s="4">
        <v>30.337</v>
      </c>
      <c r="F266" s="6">
        <v>4.8030000000000003E-2</v>
      </c>
      <c r="G266" s="7">
        <f t="shared" si="20"/>
        <v>0.59999981394342006</v>
      </c>
      <c r="H266" s="1">
        <v>763200000</v>
      </c>
      <c r="I266" s="2">
        <f t="shared" si="21"/>
        <v>8.8826383616960385</v>
      </c>
      <c r="J266" s="2">
        <f t="shared" si="22"/>
        <v>9.4826381756394582</v>
      </c>
      <c r="K266" s="1">
        <f t="shared" si="23"/>
        <v>3.291257216496147E-10</v>
      </c>
      <c r="L266" s="17">
        <f t="shared" si="24"/>
        <v>632.3681073306908</v>
      </c>
    </row>
    <row r="267" spans="1:12" x14ac:dyDescent="0.3">
      <c r="A267" s="4">
        <v>5.01187</v>
      </c>
      <c r="B267" s="5" t="s">
        <v>16</v>
      </c>
      <c r="C267" s="5">
        <v>30</v>
      </c>
      <c r="D267" s="4">
        <v>635.94000000000005</v>
      </c>
      <c r="E267" s="4">
        <v>30.087</v>
      </c>
      <c r="F267" s="6">
        <v>4.7309999999999998E-2</v>
      </c>
      <c r="G267" s="7">
        <f t="shared" si="20"/>
        <v>0.69999979755458241</v>
      </c>
      <c r="H267" s="1">
        <v>763200000</v>
      </c>
      <c r="I267" s="2">
        <f t="shared" si="21"/>
        <v>8.8826383616960385</v>
      </c>
      <c r="J267" s="2">
        <f t="shared" si="22"/>
        <v>9.5826381592506209</v>
      </c>
      <c r="K267" s="1">
        <f t="shared" si="23"/>
        <v>2.614338633459425E-10</v>
      </c>
      <c r="L267" s="17">
        <f t="shared" si="24"/>
        <v>636.65132621317923</v>
      </c>
    </row>
    <row r="268" spans="1:12" x14ac:dyDescent="0.3">
      <c r="A268" s="4">
        <v>6.3095800000000004</v>
      </c>
      <c r="B268" s="5" t="s">
        <v>16</v>
      </c>
      <c r="C268" s="5">
        <v>30</v>
      </c>
      <c r="D268" s="4">
        <v>640.39</v>
      </c>
      <c r="E268" s="4">
        <v>29.975999999999999</v>
      </c>
      <c r="F268" s="6">
        <v>4.6809999999999997E-2</v>
      </c>
      <c r="G268" s="7">
        <f t="shared" si="20"/>
        <v>0.80000045120084495</v>
      </c>
      <c r="H268" s="1">
        <v>763200000</v>
      </c>
      <c r="I268" s="2">
        <f t="shared" si="21"/>
        <v>8.8826383616960385</v>
      </c>
      <c r="J268" s="2">
        <f t="shared" si="22"/>
        <v>9.682638812896883</v>
      </c>
      <c r="K268" s="1">
        <f t="shared" si="23"/>
        <v>2.0766398661838546E-10</v>
      </c>
      <c r="L268" s="17">
        <f t="shared" si="24"/>
        <v>641.09118904879665</v>
      </c>
    </row>
    <row r="269" spans="1:12" x14ac:dyDescent="0.3">
      <c r="A269" s="4">
        <v>7.9432900000000002</v>
      </c>
      <c r="B269" s="5" t="s">
        <v>16</v>
      </c>
      <c r="C269" s="5">
        <v>30</v>
      </c>
      <c r="D269" s="4">
        <v>644.57000000000005</v>
      </c>
      <c r="E269" s="4">
        <v>29.838000000000001</v>
      </c>
      <c r="F269" s="6">
        <v>4.6289999999999998E-2</v>
      </c>
      <c r="G269" s="7">
        <f t="shared" si="20"/>
        <v>0.90000041840998102</v>
      </c>
      <c r="H269" s="1">
        <v>763200000</v>
      </c>
      <c r="I269" s="2">
        <f t="shared" si="21"/>
        <v>8.8826383616960385</v>
      </c>
      <c r="J269" s="2">
        <f t="shared" si="22"/>
        <v>9.7826387801060193</v>
      </c>
      <c r="K269" s="1">
        <f t="shared" si="23"/>
        <v>1.6495338036098785E-10</v>
      </c>
      <c r="L269" s="17">
        <f t="shared" si="24"/>
        <v>645.26025070819298</v>
      </c>
    </row>
    <row r="270" spans="1:12" x14ac:dyDescent="0.3">
      <c r="A270" s="4">
        <v>10</v>
      </c>
      <c r="B270" s="5" t="s">
        <v>16</v>
      </c>
      <c r="C270" s="5">
        <v>30</v>
      </c>
      <c r="D270" s="4">
        <v>648.91999999999996</v>
      </c>
      <c r="E270" s="4">
        <v>29.702999999999999</v>
      </c>
      <c r="F270" s="6">
        <v>4.5769999999999998E-2</v>
      </c>
      <c r="G270" s="7">
        <f t="shared" si="20"/>
        <v>1</v>
      </c>
      <c r="H270" s="1">
        <v>763200000</v>
      </c>
      <c r="I270" s="2">
        <f t="shared" si="21"/>
        <v>8.8826383616960385</v>
      </c>
      <c r="J270" s="2">
        <f t="shared" si="22"/>
        <v>9.8826383616960385</v>
      </c>
      <c r="K270" s="1">
        <f t="shared" si="23"/>
        <v>1.3102725366876296E-10</v>
      </c>
      <c r="L270" s="17">
        <f t="shared" si="24"/>
        <v>649.59944166309128</v>
      </c>
    </row>
    <row r="271" spans="1:12" x14ac:dyDescent="0.3">
      <c r="A271" s="4">
        <v>12.5893</v>
      </c>
      <c r="B271" s="5" t="s">
        <v>16</v>
      </c>
      <c r="C271" s="5">
        <v>30</v>
      </c>
      <c r="D271" s="4">
        <v>653.16</v>
      </c>
      <c r="E271" s="4">
        <v>29.681000000000001</v>
      </c>
      <c r="F271" s="6">
        <v>4.5440000000000001E-2</v>
      </c>
      <c r="G271" s="7">
        <f t="shared" si="20"/>
        <v>1.1000015828013521</v>
      </c>
      <c r="H271" s="1">
        <v>763200000</v>
      </c>
      <c r="I271" s="2">
        <f t="shared" si="21"/>
        <v>8.8826383616960385</v>
      </c>
      <c r="J271" s="2">
        <f t="shared" si="22"/>
        <v>9.9826399444973912</v>
      </c>
      <c r="K271" s="1">
        <f t="shared" si="23"/>
        <v>1.0407826778991909E-10</v>
      </c>
      <c r="L271" s="17">
        <f t="shared" si="24"/>
        <v>653.83403655744314</v>
      </c>
    </row>
    <row r="272" spans="1:12" x14ac:dyDescent="0.3">
      <c r="A272" s="4">
        <v>15.8489</v>
      </c>
      <c r="B272" s="5" t="s">
        <v>16</v>
      </c>
      <c r="C272" s="5">
        <v>30</v>
      </c>
      <c r="D272" s="4">
        <v>657.39</v>
      </c>
      <c r="E272" s="4">
        <v>29.558</v>
      </c>
      <c r="F272" s="6">
        <v>4.496E-2</v>
      </c>
      <c r="G272" s="7">
        <f t="shared" si="20"/>
        <v>1.1999991251967967</v>
      </c>
      <c r="H272" s="1">
        <v>763200000</v>
      </c>
      <c r="I272" s="2">
        <f t="shared" si="21"/>
        <v>8.8826383616960385</v>
      </c>
      <c r="J272" s="2">
        <f t="shared" si="22"/>
        <v>10.082637486892835</v>
      </c>
      <c r="K272" s="1">
        <f t="shared" si="23"/>
        <v>8.267277455770609E-11</v>
      </c>
      <c r="L272" s="17">
        <f t="shared" si="24"/>
        <v>658.05416757589182</v>
      </c>
    </row>
    <row r="273" spans="1:12" x14ac:dyDescent="0.3">
      <c r="A273" s="4">
        <v>19.9526</v>
      </c>
      <c r="B273" s="5" t="s">
        <v>16</v>
      </c>
      <c r="C273" s="5">
        <v>30</v>
      </c>
      <c r="D273" s="4">
        <v>661.71</v>
      </c>
      <c r="E273" s="4">
        <v>29.545999999999999</v>
      </c>
      <c r="F273" s="6">
        <v>4.4650000000000002E-2</v>
      </c>
      <c r="G273" s="7">
        <f t="shared" si="20"/>
        <v>1.2999994961169838</v>
      </c>
      <c r="H273" s="1">
        <v>763200000</v>
      </c>
      <c r="I273" s="2">
        <f t="shared" si="21"/>
        <v>8.8826383616960385</v>
      </c>
      <c r="J273" s="2">
        <f t="shared" si="22"/>
        <v>10.182637857813022</v>
      </c>
      <c r="K273" s="1">
        <f t="shared" si="23"/>
        <v>6.5669262987662316E-11</v>
      </c>
      <c r="L273" s="17">
        <f t="shared" si="24"/>
        <v>662.36930047821522</v>
      </c>
    </row>
    <row r="274" spans="1:12" x14ac:dyDescent="0.3">
      <c r="A274" s="4">
        <v>25.1189</v>
      </c>
      <c r="B274" s="5" t="s">
        <v>16</v>
      </c>
      <c r="C274" s="5">
        <v>30</v>
      </c>
      <c r="D274" s="4">
        <v>665.71</v>
      </c>
      <c r="E274" s="4">
        <v>29.515000000000001</v>
      </c>
      <c r="F274" s="6">
        <v>4.4339999999999997E-2</v>
      </c>
      <c r="G274" s="7">
        <f t="shared" si="20"/>
        <v>1.4000006169763799</v>
      </c>
      <c r="H274" s="1">
        <v>763200000</v>
      </c>
      <c r="I274" s="2">
        <f t="shared" si="21"/>
        <v>8.8826383616960385</v>
      </c>
      <c r="J274" s="2">
        <f t="shared" si="22"/>
        <v>10.282638978672418</v>
      </c>
      <c r="K274" s="1">
        <f t="shared" si="23"/>
        <v>5.2162815118800197E-11</v>
      </c>
      <c r="L274" s="17">
        <f t="shared" si="24"/>
        <v>666.36396910772419</v>
      </c>
    </row>
    <row r="275" spans="1:12" x14ac:dyDescent="0.3">
      <c r="A275" s="4">
        <v>31.622800000000002</v>
      </c>
      <c r="B275" s="5" t="s">
        <v>16</v>
      </c>
      <c r="C275" s="5">
        <v>30</v>
      </c>
      <c r="D275" s="4">
        <v>669.68</v>
      </c>
      <c r="E275" s="4">
        <v>29.655000000000001</v>
      </c>
      <c r="F275" s="6">
        <v>4.428E-2</v>
      </c>
      <c r="G275" s="7">
        <f t="shared" si="20"/>
        <v>1.5000003213429354</v>
      </c>
      <c r="H275" s="1">
        <v>763200000</v>
      </c>
      <c r="I275" s="2">
        <f t="shared" si="21"/>
        <v>8.8826383616960385</v>
      </c>
      <c r="J275" s="2">
        <f t="shared" si="22"/>
        <v>10.382638683038973</v>
      </c>
      <c r="K275" s="1">
        <f t="shared" si="23"/>
        <v>4.1434425056845998E-11</v>
      </c>
      <c r="L275" s="17">
        <f t="shared" si="24"/>
        <v>670.33627488373327</v>
      </c>
    </row>
    <row r="276" spans="1:12" x14ac:dyDescent="0.3">
      <c r="A276" s="4">
        <v>39.810699999999997</v>
      </c>
      <c r="B276" s="5" t="s">
        <v>16</v>
      </c>
      <c r="C276" s="5">
        <v>30</v>
      </c>
      <c r="D276" s="4">
        <v>674.04</v>
      </c>
      <c r="E276" s="4">
        <v>29.512</v>
      </c>
      <c r="F276" s="6">
        <v>4.3779999999999999E-2</v>
      </c>
      <c r="G276" s="7">
        <f t="shared" si="20"/>
        <v>1.5999998139434199</v>
      </c>
      <c r="H276" s="1">
        <v>763200000</v>
      </c>
      <c r="I276" s="2">
        <f t="shared" si="21"/>
        <v>8.8826383616960385</v>
      </c>
      <c r="J276" s="2">
        <f t="shared" si="22"/>
        <v>10.482638175639458</v>
      </c>
      <c r="K276" s="1">
        <f t="shared" si="23"/>
        <v>3.2912572164961441E-11</v>
      </c>
      <c r="L276" s="17">
        <f t="shared" si="24"/>
        <v>674.68576370337018</v>
      </c>
    </row>
    <row r="277" spans="1:12" x14ac:dyDescent="0.3">
      <c r="A277" s="4">
        <v>50.1188</v>
      </c>
      <c r="B277" s="5" t="s">
        <v>16</v>
      </c>
      <c r="C277" s="5">
        <v>30</v>
      </c>
      <c r="D277" s="4">
        <v>678.11</v>
      </c>
      <c r="E277" s="4">
        <v>29.58</v>
      </c>
      <c r="F277" s="6">
        <v>4.3619999999999999E-2</v>
      </c>
      <c r="G277" s="7">
        <f t="shared" si="20"/>
        <v>1.7000006640855352</v>
      </c>
      <c r="H277" s="1">
        <v>763200000</v>
      </c>
      <c r="I277" s="2">
        <f t="shared" si="21"/>
        <v>8.8826383616960385</v>
      </c>
      <c r="J277" s="2">
        <f t="shared" si="22"/>
        <v>10.582639025781575</v>
      </c>
      <c r="K277" s="1">
        <f t="shared" si="23"/>
        <v>2.614333417176046E-11</v>
      </c>
      <c r="L277" s="17">
        <f t="shared" si="24"/>
        <v>678.75485154803869</v>
      </c>
    </row>
    <row r="278" spans="1:12" x14ac:dyDescent="0.3">
      <c r="A278" s="4">
        <v>63.095799999999997</v>
      </c>
      <c r="B278" s="5" t="s">
        <v>16</v>
      </c>
      <c r="C278" s="5">
        <v>30</v>
      </c>
      <c r="D278" s="4">
        <v>682.01</v>
      </c>
      <c r="E278" s="4">
        <v>29.701000000000001</v>
      </c>
      <c r="F278" s="6">
        <v>4.3549999999999998E-2</v>
      </c>
      <c r="G278" s="7">
        <f t="shared" si="20"/>
        <v>1.800000451200845</v>
      </c>
      <c r="H278" s="1">
        <v>763200000</v>
      </c>
      <c r="I278" s="2">
        <f t="shared" si="21"/>
        <v>8.8826383616960385</v>
      </c>
      <c r="J278" s="2">
        <f t="shared" si="22"/>
        <v>10.682638812896883</v>
      </c>
      <c r="K278" s="1">
        <f t="shared" si="23"/>
        <v>2.0766398661838525E-11</v>
      </c>
      <c r="L278" s="17">
        <f t="shared" si="24"/>
        <v>682.65642126988007</v>
      </c>
    </row>
    <row r="279" spans="1:12" x14ac:dyDescent="0.3">
      <c r="A279" s="4">
        <v>79.432900000000004</v>
      </c>
      <c r="B279" s="5" t="s">
        <v>16</v>
      </c>
      <c r="C279" s="5">
        <v>30</v>
      </c>
      <c r="D279" s="4">
        <v>685.76</v>
      </c>
      <c r="E279" s="4">
        <v>29.611999999999998</v>
      </c>
      <c r="F279" s="6">
        <v>4.3180000000000003E-2</v>
      </c>
      <c r="G279" s="7">
        <f t="shared" si="20"/>
        <v>1.900000418409981</v>
      </c>
      <c r="H279" s="1">
        <v>763200000</v>
      </c>
      <c r="I279" s="2">
        <f t="shared" si="21"/>
        <v>8.8826383616960385</v>
      </c>
      <c r="J279" s="2">
        <f t="shared" si="22"/>
        <v>10.782638780106019</v>
      </c>
      <c r="K279" s="1">
        <f t="shared" si="23"/>
        <v>1.6495338036098768E-11</v>
      </c>
      <c r="L279" s="17">
        <f t="shared" si="24"/>
        <v>686.39904439327415</v>
      </c>
    </row>
    <row r="280" spans="1:12" x14ac:dyDescent="0.3">
      <c r="A280" s="4">
        <v>100</v>
      </c>
      <c r="B280" s="5" t="s">
        <v>16</v>
      </c>
      <c r="C280" s="5">
        <v>30</v>
      </c>
      <c r="D280" s="4">
        <v>689.56</v>
      </c>
      <c r="E280" s="4">
        <v>29.452999999999999</v>
      </c>
      <c r="F280" s="6">
        <v>4.2709999999999998E-2</v>
      </c>
      <c r="G280" s="7">
        <f t="shared" si="20"/>
        <v>2</v>
      </c>
      <c r="H280" s="1">
        <v>763200000</v>
      </c>
      <c r="I280" s="2">
        <f t="shared" si="21"/>
        <v>8.8826383616960385</v>
      </c>
      <c r="J280" s="2">
        <f t="shared" si="22"/>
        <v>10.882638361696038</v>
      </c>
      <c r="K280" s="1">
        <f t="shared" si="23"/>
        <v>1.3102725366876281E-11</v>
      </c>
      <c r="L280" s="17">
        <f t="shared" si="24"/>
        <v>690.18872260346291</v>
      </c>
    </row>
    <row r="281" spans="1:12" x14ac:dyDescent="0.3">
      <c r="A281" s="9">
        <v>0.1</v>
      </c>
      <c r="B281" s="10" t="s">
        <v>17</v>
      </c>
      <c r="C281" s="5">
        <v>40</v>
      </c>
      <c r="D281" s="9">
        <v>478.58</v>
      </c>
      <c r="E281" s="9">
        <v>44.631</v>
      </c>
      <c r="F281" s="11">
        <v>9.3259999999999996E-2</v>
      </c>
      <c r="G281" s="12">
        <f t="shared" si="20"/>
        <v>-1</v>
      </c>
      <c r="H281" s="1">
        <v>46099296</v>
      </c>
      <c r="I281" s="2">
        <f t="shared" si="21"/>
        <v>7.6636942931629708</v>
      </c>
      <c r="J281" s="2">
        <f t="shared" si="22"/>
        <v>6.6636942931629708</v>
      </c>
      <c r="K281" s="1">
        <f t="shared" si="23"/>
        <v>2.1692305236071286E-7</v>
      </c>
      <c r="L281" s="17">
        <f t="shared" si="24"/>
        <v>480.65657444895101</v>
      </c>
    </row>
    <row r="282" spans="1:12" x14ac:dyDescent="0.3">
      <c r="A282" s="9">
        <v>0.12589</v>
      </c>
      <c r="B282" s="10" t="s">
        <v>17</v>
      </c>
      <c r="C282" s="5">
        <v>40</v>
      </c>
      <c r="D282" s="9">
        <v>487.23</v>
      </c>
      <c r="E282" s="9">
        <v>41.024999999999999</v>
      </c>
      <c r="F282" s="11">
        <v>8.4199999999999997E-2</v>
      </c>
      <c r="G282" s="12">
        <f t="shared" si="20"/>
        <v>-0.90000876645531558</v>
      </c>
      <c r="H282" s="1">
        <v>46099296</v>
      </c>
      <c r="I282" s="2">
        <f t="shared" si="21"/>
        <v>7.6636942931629708</v>
      </c>
      <c r="J282" s="2">
        <f t="shared" si="22"/>
        <v>6.763685526707655</v>
      </c>
      <c r="K282" s="1">
        <f t="shared" si="23"/>
        <v>1.7231158341465779E-7</v>
      </c>
      <c r="L282" s="17">
        <f t="shared" si="24"/>
        <v>488.95411188065492</v>
      </c>
    </row>
    <row r="283" spans="1:12" x14ac:dyDescent="0.3">
      <c r="A283" s="9">
        <v>0.15848999999999999</v>
      </c>
      <c r="B283" s="10" t="s">
        <v>17</v>
      </c>
      <c r="C283" s="5">
        <v>40</v>
      </c>
      <c r="D283" s="9">
        <v>494.79</v>
      </c>
      <c r="E283" s="9">
        <v>39.200000000000003</v>
      </c>
      <c r="F283" s="11">
        <v>7.9229999999999995E-2</v>
      </c>
      <c r="G283" s="12">
        <f t="shared" si="20"/>
        <v>-0.79999813459339819</v>
      </c>
      <c r="H283" s="1">
        <v>46099296</v>
      </c>
      <c r="I283" s="2">
        <f t="shared" si="21"/>
        <v>7.6636942931629708</v>
      </c>
      <c r="J283" s="2">
        <f t="shared" si="22"/>
        <v>6.8636961585695726</v>
      </c>
      <c r="K283" s="1">
        <f t="shared" si="23"/>
        <v>1.3686860518689671E-7</v>
      </c>
      <c r="L283" s="17">
        <f t="shared" si="24"/>
        <v>496.34039136463599</v>
      </c>
    </row>
    <row r="284" spans="1:12" x14ac:dyDescent="0.3">
      <c r="A284" s="9">
        <v>0.19953000000000001</v>
      </c>
      <c r="B284" s="10" t="s">
        <v>17</v>
      </c>
      <c r="C284" s="5">
        <v>40</v>
      </c>
      <c r="D284" s="9">
        <v>501.89</v>
      </c>
      <c r="E284" s="9">
        <v>38.097000000000001</v>
      </c>
      <c r="F284" s="11">
        <v>7.5910000000000005E-2</v>
      </c>
      <c r="G284" s="12">
        <f t="shared" si="20"/>
        <v>-0.69999179744618689</v>
      </c>
      <c r="H284" s="1">
        <v>46099296</v>
      </c>
      <c r="I284" s="2">
        <f t="shared" si="21"/>
        <v>7.6636942931629708</v>
      </c>
      <c r="J284" s="2">
        <f t="shared" si="22"/>
        <v>6.9637024957167837</v>
      </c>
      <c r="K284" s="1">
        <f t="shared" si="23"/>
        <v>1.0871701115657433E-7</v>
      </c>
      <c r="L284" s="17">
        <f t="shared" si="24"/>
        <v>503.33383902634637</v>
      </c>
    </row>
    <row r="285" spans="1:12" x14ac:dyDescent="0.3">
      <c r="A285" s="9">
        <v>0.25119000000000002</v>
      </c>
      <c r="B285" s="10" t="s">
        <v>17</v>
      </c>
      <c r="C285" s="5">
        <v>40</v>
      </c>
      <c r="D285" s="9">
        <v>508.58</v>
      </c>
      <c r="E285" s="9">
        <v>37.020000000000003</v>
      </c>
      <c r="F285" s="11">
        <v>7.2789999999999994E-2</v>
      </c>
      <c r="G285" s="12">
        <f t="shared" si="20"/>
        <v>-0.59999765407204408</v>
      </c>
      <c r="H285" s="1">
        <v>46099296</v>
      </c>
      <c r="I285" s="2">
        <f t="shared" si="21"/>
        <v>7.6636942931629708</v>
      </c>
      <c r="J285" s="2">
        <f t="shared" si="22"/>
        <v>7.063696639090927</v>
      </c>
      <c r="K285" s="1">
        <f t="shared" si="23"/>
        <v>8.6358156121148259E-8</v>
      </c>
      <c r="L285" s="17">
        <f t="shared" si="24"/>
        <v>509.92557966824921</v>
      </c>
    </row>
    <row r="286" spans="1:12" x14ac:dyDescent="0.3">
      <c r="A286" s="9">
        <v>0.31623000000000001</v>
      </c>
      <c r="B286" s="10" t="s">
        <v>17</v>
      </c>
      <c r="C286" s="5">
        <v>40</v>
      </c>
      <c r="D286" s="9">
        <v>514.37</v>
      </c>
      <c r="E286" s="9">
        <v>36.207999999999998</v>
      </c>
      <c r="F286" s="11">
        <v>7.0389999999999994E-2</v>
      </c>
      <c r="G286" s="12">
        <f t="shared" si="20"/>
        <v>-0.4999969319483068</v>
      </c>
      <c r="H286" s="1">
        <v>46099296</v>
      </c>
      <c r="I286" s="2">
        <f t="shared" si="21"/>
        <v>7.6636942931629708</v>
      </c>
      <c r="J286" s="2">
        <f t="shared" si="22"/>
        <v>7.1636973612146644</v>
      </c>
      <c r="K286" s="1">
        <f t="shared" si="23"/>
        <v>6.8596607646558744E-8</v>
      </c>
      <c r="L286" s="17">
        <f t="shared" si="24"/>
        <v>515.64281839661066</v>
      </c>
    </row>
    <row r="287" spans="1:12" x14ac:dyDescent="0.3">
      <c r="A287" s="9">
        <v>0.39811000000000002</v>
      </c>
      <c r="B287" s="10" t="s">
        <v>17</v>
      </c>
      <c r="C287" s="5">
        <v>40</v>
      </c>
      <c r="D287" s="9">
        <v>520.38</v>
      </c>
      <c r="E287" s="9">
        <v>35.466999999999999</v>
      </c>
      <c r="F287" s="11">
        <v>6.8159999999999998E-2</v>
      </c>
      <c r="G287" s="12">
        <f t="shared" si="20"/>
        <v>-0.39999691337225962</v>
      </c>
      <c r="H287" s="1">
        <v>46099296</v>
      </c>
      <c r="I287" s="2">
        <f t="shared" si="21"/>
        <v>7.6636942931629708</v>
      </c>
      <c r="J287" s="2">
        <f t="shared" si="22"/>
        <v>7.2636973797907114</v>
      </c>
      <c r="K287" s="1">
        <f t="shared" si="23"/>
        <v>5.4488219929344246E-8</v>
      </c>
      <c r="L287" s="17">
        <f t="shared" si="24"/>
        <v>521.58724341091772</v>
      </c>
    </row>
    <row r="288" spans="1:12" x14ac:dyDescent="0.3">
      <c r="A288" s="9">
        <v>0.50119000000000002</v>
      </c>
      <c r="B288" s="10" t="s">
        <v>17</v>
      </c>
      <c r="C288" s="5">
        <v>40</v>
      </c>
      <c r="D288" s="9">
        <v>525.66</v>
      </c>
      <c r="E288" s="9">
        <v>34.731000000000002</v>
      </c>
      <c r="F288" s="11">
        <v>6.6070000000000004E-2</v>
      </c>
      <c r="G288" s="12">
        <f t="shared" si="20"/>
        <v>-0.29999760285774607</v>
      </c>
      <c r="H288" s="1">
        <v>46099296</v>
      </c>
      <c r="I288" s="2">
        <f t="shared" si="21"/>
        <v>7.6636942931629708</v>
      </c>
      <c r="J288" s="2">
        <f t="shared" si="22"/>
        <v>7.3636966903052246</v>
      </c>
      <c r="K288" s="1">
        <f t="shared" si="23"/>
        <v>4.3281600263515445E-8</v>
      </c>
      <c r="L288" s="17">
        <f t="shared" si="24"/>
        <v>526.80611040590634</v>
      </c>
    </row>
    <row r="289" spans="1:12" x14ac:dyDescent="0.3">
      <c r="A289" s="9">
        <v>0.63095999999999997</v>
      </c>
      <c r="B289" s="10" t="s">
        <v>17</v>
      </c>
      <c r="C289" s="5">
        <v>40</v>
      </c>
      <c r="D289" s="9">
        <v>530.98</v>
      </c>
      <c r="E289" s="9">
        <v>34.149000000000001</v>
      </c>
      <c r="F289" s="11">
        <v>6.4310000000000006E-2</v>
      </c>
      <c r="G289" s="12">
        <f t="shared" si="20"/>
        <v>-0.19999817218203128</v>
      </c>
      <c r="H289" s="1">
        <v>46099296</v>
      </c>
      <c r="I289" s="2">
        <f t="shared" si="21"/>
        <v>7.6636942931629708</v>
      </c>
      <c r="J289" s="2">
        <f t="shared" si="22"/>
        <v>7.4636961209809396</v>
      </c>
      <c r="K289" s="1">
        <f t="shared" si="23"/>
        <v>3.4379842202471318E-8</v>
      </c>
      <c r="L289" s="17">
        <f t="shared" si="24"/>
        <v>532.07698183721504</v>
      </c>
    </row>
    <row r="290" spans="1:12" x14ac:dyDescent="0.3">
      <c r="A290" s="9">
        <v>0.79432999999999998</v>
      </c>
      <c r="B290" s="10" t="s">
        <v>17</v>
      </c>
      <c r="C290" s="5">
        <v>40</v>
      </c>
      <c r="D290" s="9">
        <v>536.11</v>
      </c>
      <c r="E290" s="9">
        <v>33.695999999999998</v>
      </c>
      <c r="F290" s="11">
        <v>6.2850000000000003E-2</v>
      </c>
      <c r="G290" s="12">
        <f t="shared" si="20"/>
        <v>-9.9999034846530471E-2</v>
      </c>
      <c r="H290" s="1">
        <v>46099296</v>
      </c>
      <c r="I290" s="2">
        <f t="shared" si="21"/>
        <v>7.6636942931629708</v>
      </c>
      <c r="J290" s="2">
        <f t="shared" si="22"/>
        <v>7.5636952583164403</v>
      </c>
      <c r="K290" s="1">
        <f t="shared" si="23"/>
        <v>2.7308933612064573E-8</v>
      </c>
      <c r="L290" s="17">
        <f t="shared" si="24"/>
        <v>537.16789974457708</v>
      </c>
    </row>
    <row r="291" spans="1:12" x14ac:dyDescent="0.3">
      <c r="A291" s="9">
        <v>1</v>
      </c>
      <c r="B291" s="10" t="s">
        <v>17</v>
      </c>
      <c r="C291" s="5">
        <v>40</v>
      </c>
      <c r="D291" s="9">
        <v>541.27</v>
      </c>
      <c r="E291" s="9">
        <v>33.351999999999997</v>
      </c>
      <c r="F291" s="11">
        <v>6.1620000000000001E-2</v>
      </c>
      <c r="G291" s="12">
        <f t="shared" si="20"/>
        <v>0</v>
      </c>
      <c r="H291" s="1">
        <v>46099296</v>
      </c>
      <c r="I291" s="2">
        <f t="shared" si="21"/>
        <v>7.6636942931629708</v>
      </c>
      <c r="J291" s="2">
        <f t="shared" si="22"/>
        <v>7.6636942931629708</v>
      </c>
      <c r="K291" s="1">
        <f t="shared" si="23"/>
        <v>2.1692305236071263E-8</v>
      </c>
      <c r="L291" s="17">
        <f t="shared" si="24"/>
        <v>542.29656905055185</v>
      </c>
    </row>
    <row r="292" spans="1:12" x14ac:dyDescent="0.3">
      <c r="A292" s="9">
        <v>1.2589300000000001</v>
      </c>
      <c r="B292" s="10" t="s">
        <v>17</v>
      </c>
      <c r="C292" s="5">
        <v>40</v>
      </c>
      <c r="D292" s="9">
        <v>546.02</v>
      </c>
      <c r="E292" s="9">
        <v>32.889000000000003</v>
      </c>
      <c r="F292" s="11">
        <v>6.0229999999999999E-2</v>
      </c>
      <c r="G292" s="12">
        <f t="shared" si="20"/>
        <v>0.10000158280135207</v>
      </c>
      <c r="H292" s="1">
        <v>46099296</v>
      </c>
      <c r="I292" s="2">
        <f t="shared" si="21"/>
        <v>7.6636942931629708</v>
      </c>
      <c r="J292" s="2">
        <f t="shared" si="22"/>
        <v>7.7636958759643226</v>
      </c>
      <c r="K292" s="1">
        <f t="shared" si="23"/>
        <v>1.7230747727094633E-8</v>
      </c>
      <c r="L292" s="17">
        <f t="shared" si="24"/>
        <v>547.00962214663093</v>
      </c>
    </row>
    <row r="293" spans="1:12" x14ac:dyDescent="0.3">
      <c r="A293" s="9">
        <v>1.5848899999999999</v>
      </c>
      <c r="B293" s="10" t="s">
        <v>17</v>
      </c>
      <c r="C293" s="5">
        <v>40</v>
      </c>
      <c r="D293" s="9">
        <v>551.08000000000004</v>
      </c>
      <c r="E293" s="9">
        <v>32.472999999999999</v>
      </c>
      <c r="F293" s="11">
        <v>5.8930000000000003E-2</v>
      </c>
      <c r="G293" s="12">
        <f t="shared" si="20"/>
        <v>0.19999912519679666</v>
      </c>
      <c r="H293" s="1">
        <v>46099296</v>
      </c>
      <c r="I293" s="2">
        <f t="shared" si="21"/>
        <v>7.6636942931629708</v>
      </c>
      <c r="J293" s="2">
        <f t="shared" si="22"/>
        <v>7.8636934183597678</v>
      </c>
      <c r="K293" s="1">
        <f t="shared" si="23"/>
        <v>1.3686946877115281E-8</v>
      </c>
      <c r="L293" s="17">
        <f t="shared" si="24"/>
        <v>552.03592467248006</v>
      </c>
    </row>
    <row r="294" spans="1:12" x14ac:dyDescent="0.3">
      <c r="A294" s="9">
        <v>1.99526</v>
      </c>
      <c r="B294" s="10" t="s">
        <v>17</v>
      </c>
      <c r="C294" s="5">
        <v>40</v>
      </c>
      <c r="D294" s="9">
        <v>555.71</v>
      </c>
      <c r="E294" s="9">
        <v>32.207999999999998</v>
      </c>
      <c r="F294" s="11">
        <v>5.7959999999999998E-2</v>
      </c>
      <c r="G294" s="12">
        <f t="shared" si="20"/>
        <v>0.29999949611698379</v>
      </c>
      <c r="H294" s="1">
        <v>46099296</v>
      </c>
      <c r="I294" s="2">
        <f t="shared" si="21"/>
        <v>7.6636942931629708</v>
      </c>
      <c r="J294" s="2">
        <f t="shared" si="22"/>
        <v>7.9636937892799544</v>
      </c>
      <c r="K294" s="1">
        <f t="shared" si="23"/>
        <v>1.087191906622259E-8</v>
      </c>
      <c r="L294" s="17">
        <f t="shared" si="24"/>
        <v>556.64257774985208</v>
      </c>
    </row>
    <row r="295" spans="1:12" x14ac:dyDescent="0.3">
      <c r="A295" s="9">
        <v>2.5118900000000002</v>
      </c>
      <c r="B295" s="10" t="s">
        <v>17</v>
      </c>
      <c r="C295" s="5">
        <v>40</v>
      </c>
      <c r="D295" s="9">
        <v>560.34</v>
      </c>
      <c r="E295" s="9">
        <v>31.684999999999999</v>
      </c>
      <c r="F295" s="11">
        <v>5.6550000000000003E-2</v>
      </c>
      <c r="G295" s="12">
        <f t="shared" si="20"/>
        <v>0.40000061697637995</v>
      </c>
      <c r="H295" s="1">
        <v>46099296</v>
      </c>
      <c r="I295" s="2">
        <f t="shared" si="21"/>
        <v>7.6636942931629708</v>
      </c>
      <c r="J295" s="2">
        <f t="shared" si="22"/>
        <v>8.0636949101393505</v>
      </c>
      <c r="K295" s="1">
        <f t="shared" si="23"/>
        <v>8.6358499918671889E-9</v>
      </c>
      <c r="L295" s="17">
        <f t="shared" si="24"/>
        <v>561.23511545964402</v>
      </c>
    </row>
    <row r="296" spans="1:12" x14ac:dyDescent="0.3">
      <c r="A296" s="9">
        <v>3.16228</v>
      </c>
      <c r="B296" s="10" t="s">
        <v>17</v>
      </c>
      <c r="C296" s="5">
        <v>40</v>
      </c>
      <c r="D296" s="9">
        <v>564.85</v>
      </c>
      <c r="E296" s="9">
        <v>31.341000000000001</v>
      </c>
      <c r="F296" s="11">
        <v>5.5489999999999998E-2</v>
      </c>
      <c r="G296" s="12">
        <f t="shared" si="20"/>
        <v>0.50000032134293526</v>
      </c>
      <c r="H296" s="1">
        <v>46099296</v>
      </c>
      <c r="I296" s="2">
        <f t="shared" si="21"/>
        <v>7.6636942931629708</v>
      </c>
      <c r="J296" s="2">
        <f t="shared" si="22"/>
        <v>8.1636946145059053</v>
      </c>
      <c r="K296" s="1">
        <f t="shared" si="23"/>
        <v>6.8597041489277802E-9</v>
      </c>
      <c r="L296" s="17">
        <f t="shared" si="24"/>
        <v>565.71881777169131</v>
      </c>
    </row>
    <row r="297" spans="1:12" x14ac:dyDescent="0.3">
      <c r="A297" s="9">
        <v>3.9810699999999999</v>
      </c>
      <c r="B297" s="10" t="s">
        <v>17</v>
      </c>
      <c r="C297" s="5">
        <v>40</v>
      </c>
      <c r="D297" s="9">
        <v>569.29</v>
      </c>
      <c r="E297" s="9">
        <v>30.96</v>
      </c>
      <c r="F297" s="11">
        <v>5.4379999999999998E-2</v>
      </c>
      <c r="G297" s="12">
        <f t="shared" si="20"/>
        <v>0.59999981394342006</v>
      </c>
      <c r="H297" s="1">
        <v>46099296</v>
      </c>
      <c r="I297" s="2">
        <f t="shared" si="21"/>
        <v>7.6636942931629708</v>
      </c>
      <c r="J297" s="2">
        <f t="shared" si="22"/>
        <v>8.2636941071063905</v>
      </c>
      <c r="K297" s="1">
        <f t="shared" si="23"/>
        <v>5.4488630534181194E-9</v>
      </c>
      <c r="L297" s="17">
        <f t="shared" si="24"/>
        <v>570.13123550635248</v>
      </c>
    </row>
    <row r="298" spans="1:12" x14ac:dyDescent="0.3">
      <c r="A298" s="9">
        <v>5.01187</v>
      </c>
      <c r="B298" s="10" t="s">
        <v>17</v>
      </c>
      <c r="C298" s="5">
        <v>40</v>
      </c>
      <c r="D298" s="9">
        <v>573.77</v>
      </c>
      <c r="E298" s="9">
        <v>30.757999999999999</v>
      </c>
      <c r="F298" s="11">
        <v>5.3609999999999998E-2</v>
      </c>
      <c r="G298" s="12">
        <f t="shared" si="20"/>
        <v>0.69999979755458241</v>
      </c>
      <c r="H298" s="1">
        <v>46099296</v>
      </c>
      <c r="I298" s="2">
        <f t="shared" si="21"/>
        <v>7.6636942931629708</v>
      </c>
      <c r="J298" s="2">
        <f t="shared" si="22"/>
        <v>8.3636940907175532</v>
      </c>
      <c r="K298" s="1">
        <f t="shared" si="23"/>
        <v>4.3281859338073866E-9</v>
      </c>
      <c r="L298" s="17">
        <f t="shared" si="24"/>
        <v>574.59382825087846</v>
      </c>
    </row>
    <row r="299" spans="1:12" x14ac:dyDescent="0.3">
      <c r="A299" s="9">
        <v>6.3095800000000004</v>
      </c>
      <c r="B299" s="10" t="s">
        <v>17</v>
      </c>
      <c r="C299" s="5">
        <v>40</v>
      </c>
      <c r="D299" s="9">
        <v>578.38</v>
      </c>
      <c r="E299" s="9">
        <v>30.539000000000001</v>
      </c>
      <c r="F299" s="11">
        <v>5.28E-2</v>
      </c>
      <c r="G299" s="12">
        <f t="shared" si="20"/>
        <v>0.80000045120084495</v>
      </c>
      <c r="H299" s="1">
        <v>46099296</v>
      </c>
      <c r="I299" s="2">
        <f t="shared" si="21"/>
        <v>7.6636942931629708</v>
      </c>
      <c r="J299" s="2">
        <f t="shared" si="22"/>
        <v>8.4636947443638153</v>
      </c>
      <c r="K299" s="1">
        <f t="shared" si="23"/>
        <v>3.4379951179113806E-9</v>
      </c>
      <c r="L299" s="17">
        <f t="shared" si="24"/>
        <v>579.18568259324229</v>
      </c>
    </row>
    <row r="300" spans="1:12" x14ac:dyDescent="0.3">
      <c r="A300" s="9">
        <v>7.9432900000000002</v>
      </c>
      <c r="B300" s="10" t="s">
        <v>17</v>
      </c>
      <c r="C300" s="5">
        <v>40</v>
      </c>
      <c r="D300" s="9">
        <v>582.77</v>
      </c>
      <c r="E300" s="9">
        <v>30.302</v>
      </c>
      <c r="F300" s="11">
        <v>5.1999999999999998E-2</v>
      </c>
      <c r="G300" s="12">
        <f t="shared" si="20"/>
        <v>0.90000041840998102</v>
      </c>
      <c r="H300" s="1">
        <v>46099296</v>
      </c>
      <c r="I300" s="2">
        <f t="shared" si="21"/>
        <v>7.6636942931629708</v>
      </c>
      <c r="J300" s="2">
        <f t="shared" si="22"/>
        <v>8.5636947115729516</v>
      </c>
      <c r="K300" s="1">
        <f t="shared" si="23"/>
        <v>2.7308967991941958E-9</v>
      </c>
      <c r="L300" s="17">
        <f t="shared" si="24"/>
        <v>583.55726720177165</v>
      </c>
    </row>
    <row r="301" spans="1:12" x14ac:dyDescent="0.3">
      <c r="A301" s="9">
        <v>10</v>
      </c>
      <c r="B301" s="10" t="s">
        <v>17</v>
      </c>
      <c r="C301" s="5">
        <v>40</v>
      </c>
      <c r="D301" s="9">
        <v>587.02</v>
      </c>
      <c r="E301" s="9">
        <v>30.157</v>
      </c>
      <c r="F301" s="11">
        <v>5.1369999999999999E-2</v>
      </c>
      <c r="G301" s="12">
        <f t="shared" si="20"/>
        <v>1</v>
      </c>
      <c r="H301" s="1">
        <v>46099296</v>
      </c>
      <c r="I301" s="2">
        <f t="shared" si="21"/>
        <v>7.6636942931629708</v>
      </c>
      <c r="J301" s="2">
        <f t="shared" si="22"/>
        <v>8.6636942931629708</v>
      </c>
      <c r="K301" s="1">
        <f t="shared" si="23"/>
        <v>2.1692305236071239E-9</v>
      </c>
      <c r="L301" s="17">
        <f t="shared" si="24"/>
        <v>587.79411790949393</v>
      </c>
    </row>
    <row r="302" spans="1:12" x14ac:dyDescent="0.3">
      <c r="A302" s="9">
        <v>12.5893</v>
      </c>
      <c r="B302" s="10" t="s">
        <v>17</v>
      </c>
      <c r="C302" s="5">
        <v>40</v>
      </c>
      <c r="D302" s="9">
        <v>591.61</v>
      </c>
      <c r="E302" s="9">
        <v>30.071000000000002</v>
      </c>
      <c r="F302" s="11">
        <v>5.083E-2</v>
      </c>
      <c r="G302" s="12">
        <f t="shared" si="20"/>
        <v>1.1000015828013521</v>
      </c>
      <c r="H302" s="1">
        <v>46099296</v>
      </c>
      <c r="I302" s="2">
        <f t="shared" si="21"/>
        <v>7.6636942931629708</v>
      </c>
      <c r="J302" s="2">
        <f t="shared" si="22"/>
        <v>8.7636958759643235</v>
      </c>
      <c r="K302" s="1">
        <f t="shared" si="23"/>
        <v>1.7230747727094614E-9</v>
      </c>
      <c r="L302" s="17">
        <f t="shared" si="24"/>
        <v>592.37374784927795</v>
      </c>
    </row>
    <row r="303" spans="1:12" x14ac:dyDescent="0.3">
      <c r="A303" s="9">
        <v>15.8489</v>
      </c>
      <c r="B303" s="10" t="s">
        <v>17</v>
      </c>
      <c r="C303" s="5">
        <v>40</v>
      </c>
      <c r="D303" s="9">
        <v>596.04999999999995</v>
      </c>
      <c r="E303" s="9">
        <v>29.888000000000002</v>
      </c>
      <c r="F303" s="11">
        <v>5.0139999999999997E-2</v>
      </c>
      <c r="G303" s="12">
        <f t="shared" si="20"/>
        <v>1.1999991251967967</v>
      </c>
      <c r="H303" s="1">
        <v>46099296</v>
      </c>
      <c r="I303" s="2">
        <f t="shared" si="21"/>
        <v>7.6636942931629708</v>
      </c>
      <c r="J303" s="2">
        <f t="shared" si="22"/>
        <v>8.8636934183597678</v>
      </c>
      <c r="K303" s="1">
        <f t="shared" si="23"/>
        <v>1.3686946877115264E-9</v>
      </c>
      <c r="L303" s="17">
        <f t="shared" si="24"/>
        <v>596.79887319263594</v>
      </c>
    </row>
    <row r="304" spans="1:12" x14ac:dyDescent="0.3">
      <c r="A304" s="9">
        <v>19.9526</v>
      </c>
      <c r="B304" s="10" t="s">
        <v>17</v>
      </c>
      <c r="C304" s="5">
        <v>40</v>
      </c>
      <c r="D304" s="9">
        <v>600.21</v>
      </c>
      <c r="E304" s="9">
        <v>29.812999999999999</v>
      </c>
      <c r="F304" s="11">
        <v>4.9669999999999999E-2</v>
      </c>
      <c r="G304" s="12">
        <f t="shared" si="20"/>
        <v>1.2999994961169838</v>
      </c>
      <c r="H304" s="1">
        <v>46099296</v>
      </c>
      <c r="I304" s="2">
        <f t="shared" si="21"/>
        <v>7.6636942931629708</v>
      </c>
      <c r="J304" s="2">
        <f t="shared" si="22"/>
        <v>8.9636937892799544</v>
      </c>
      <c r="K304" s="1">
        <f t="shared" si="23"/>
        <v>1.0871919066222577E-9</v>
      </c>
      <c r="L304" s="17">
        <f t="shared" si="24"/>
        <v>600.94996386471314</v>
      </c>
    </row>
    <row r="305" spans="1:12" x14ac:dyDescent="0.3">
      <c r="A305" s="9">
        <v>25.1189</v>
      </c>
      <c r="B305" s="10" t="s">
        <v>17</v>
      </c>
      <c r="C305" s="5">
        <v>40</v>
      </c>
      <c r="D305" s="9">
        <v>604.59</v>
      </c>
      <c r="E305" s="9">
        <v>29.806000000000001</v>
      </c>
      <c r="F305" s="11">
        <v>4.9299999999999997E-2</v>
      </c>
      <c r="G305" s="12">
        <f t="shared" si="20"/>
        <v>1.4000006169763799</v>
      </c>
      <c r="H305" s="1">
        <v>46099296</v>
      </c>
      <c r="I305" s="2">
        <f t="shared" si="21"/>
        <v>7.6636942931629708</v>
      </c>
      <c r="J305" s="2">
        <f t="shared" si="22"/>
        <v>9.0636949101393505</v>
      </c>
      <c r="K305" s="1">
        <f t="shared" si="23"/>
        <v>8.6358499918671796E-10</v>
      </c>
      <c r="L305" s="17">
        <f t="shared" si="24"/>
        <v>605.32426494896106</v>
      </c>
    </row>
    <row r="306" spans="1:12" x14ac:dyDescent="0.3">
      <c r="A306" s="9">
        <v>31.622800000000002</v>
      </c>
      <c r="B306" s="10" t="s">
        <v>17</v>
      </c>
      <c r="C306" s="5">
        <v>40</v>
      </c>
      <c r="D306" s="9">
        <v>608.63</v>
      </c>
      <c r="E306" s="9">
        <v>29.85</v>
      </c>
      <c r="F306" s="11">
        <v>4.904E-2</v>
      </c>
      <c r="G306" s="12">
        <f t="shared" si="20"/>
        <v>1.5000003213429354</v>
      </c>
      <c r="H306" s="1">
        <v>46099296</v>
      </c>
      <c r="I306" s="2">
        <f t="shared" si="21"/>
        <v>7.6636942931629708</v>
      </c>
      <c r="J306" s="2">
        <f t="shared" si="22"/>
        <v>9.1636946145059071</v>
      </c>
      <c r="K306" s="1">
        <f t="shared" si="23"/>
        <v>6.859704148927748E-10</v>
      </c>
      <c r="L306" s="17">
        <f t="shared" si="24"/>
        <v>609.36155064132492</v>
      </c>
    </row>
    <row r="307" spans="1:12" x14ac:dyDescent="0.3">
      <c r="A307" s="9">
        <v>39.810699999999997</v>
      </c>
      <c r="B307" s="10" t="s">
        <v>17</v>
      </c>
      <c r="C307" s="5">
        <v>40</v>
      </c>
      <c r="D307" s="9">
        <v>613.08000000000004</v>
      </c>
      <c r="E307" s="9">
        <v>29.757999999999999</v>
      </c>
      <c r="F307" s="11">
        <v>4.854E-2</v>
      </c>
      <c r="G307" s="12">
        <f t="shared" si="20"/>
        <v>1.5999998139434199</v>
      </c>
      <c r="H307" s="1">
        <v>46099296</v>
      </c>
      <c r="I307" s="2">
        <f t="shared" si="21"/>
        <v>7.6636942931629708</v>
      </c>
      <c r="J307" s="2">
        <f t="shared" si="22"/>
        <v>9.2636941071063905</v>
      </c>
      <c r="K307" s="1">
        <f t="shared" si="23"/>
        <v>5.4488630534181134E-10</v>
      </c>
      <c r="L307" s="17">
        <f t="shared" si="24"/>
        <v>613.80177986382546</v>
      </c>
    </row>
    <row r="308" spans="1:12" x14ac:dyDescent="0.3">
      <c r="A308" s="9">
        <v>50.1188</v>
      </c>
      <c r="B308" s="10" t="s">
        <v>17</v>
      </c>
      <c r="C308" s="5">
        <v>40</v>
      </c>
      <c r="D308" s="9">
        <v>617.15</v>
      </c>
      <c r="E308" s="9">
        <v>29.702999999999999</v>
      </c>
      <c r="F308" s="11">
        <v>4.8129999999999999E-2</v>
      </c>
      <c r="G308" s="12">
        <f t="shared" si="20"/>
        <v>1.7000006640855352</v>
      </c>
      <c r="H308" s="1">
        <v>46099296</v>
      </c>
      <c r="I308" s="2">
        <f t="shared" si="21"/>
        <v>7.6636942931629708</v>
      </c>
      <c r="J308" s="2">
        <f t="shared" si="22"/>
        <v>9.3636949572485051</v>
      </c>
      <c r="K308" s="1">
        <f t="shared" si="23"/>
        <v>4.328177297954318E-10</v>
      </c>
      <c r="L308" s="17">
        <f t="shared" si="24"/>
        <v>617.86437889637239</v>
      </c>
    </row>
    <row r="309" spans="1:12" x14ac:dyDescent="0.3">
      <c r="A309" s="9">
        <v>63.095799999999997</v>
      </c>
      <c r="B309" s="10" t="s">
        <v>17</v>
      </c>
      <c r="C309" s="5">
        <v>40</v>
      </c>
      <c r="D309" s="9">
        <v>621.33000000000004</v>
      </c>
      <c r="E309" s="9">
        <v>29.727</v>
      </c>
      <c r="F309" s="11">
        <v>4.7840000000000001E-2</v>
      </c>
      <c r="G309" s="12">
        <f t="shared" si="20"/>
        <v>1.800000451200845</v>
      </c>
      <c r="H309" s="1">
        <v>46099296</v>
      </c>
      <c r="I309" s="2">
        <f t="shared" si="21"/>
        <v>7.6636942931629708</v>
      </c>
      <c r="J309" s="2">
        <f t="shared" si="22"/>
        <v>9.4636947443638153</v>
      </c>
      <c r="K309" s="1">
        <f t="shared" si="23"/>
        <v>3.4379951179113764E-10</v>
      </c>
      <c r="L309" s="17">
        <f t="shared" si="24"/>
        <v>622.04072489588657</v>
      </c>
    </row>
    <row r="310" spans="1:12" x14ac:dyDescent="0.3">
      <c r="A310" s="9">
        <v>79.432900000000004</v>
      </c>
      <c r="B310" s="10" t="s">
        <v>17</v>
      </c>
      <c r="C310" s="5">
        <v>40</v>
      </c>
      <c r="D310" s="9">
        <v>625.25</v>
      </c>
      <c r="E310" s="9">
        <v>29.61</v>
      </c>
      <c r="F310" s="11">
        <v>4.7359999999999999E-2</v>
      </c>
      <c r="G310" s="12">
        <f t="shared" si="20"/>
        <v>1.900000418409981</v>
      </c>
      <c r="H310" s="1">
        <v>46099296</v>
      </c>
      <c r="I310" s="2">
        <f t="shared" si="21"/>
        <v>7.6636942931629708</v>
      </c>
      <c r="J310" s="2">
        <f t="shared" si="22"/>
        <v>9.5636947115729516</v>
      </c>
      <c r="K310" s="1">
        <f t="shared" si="23"/>
        <v>2.7308967991941933E-10</v>
      </c>
      <c r="L310" s="17">
        <f t="shared" si="24"/>
        <v>625.95072857214564</v>
      </c>
    </row>
    <row r="311" spans="1:12" x14ac:dyDescent="0.3">
      <c r="A311" s="9">
        <v>100</v>
      </c>
      <c r="B311" s="10" t="s">
        <v>17</v>
      </c>
      <c r="C311" s="5">
        <v>40</v>
      </c>
      <c r="D311" s="9">
        <v>629.04</v>
      </c>
      <c r="E311" s="9">
        <v>29.448</v>
      </c>
      <c r="F311" s="11">
        <v>4.6809999999999997E-2</v>
      </c>
      <c r="G311" s="12">
        <f t="shared" si="20"/>
        <v>2</v>
      </c>
      <c r="H311" s="1">
        <v>46099296</v>
      </c>
      <c r="I311" s="2">
        <f t="shared" si="21"/>
        <v>7.6636942931629708</v>
      </c>
      <c r="J311" s="2">
        <f t="shared" si="22"/>
        <v>9.6636942931629708</v>
      </c>
      <c r="K311" s="1">
        <f t="shared" si="23"/>
        <v>2.1692305236071293E-10</v>
      </c>
      <c r="L311" s="17">
        <f t="shared" si="24"/>
        <v>629.72891493403733</v>
      </c>
    </row>
    <row r="312" spans="1:12" x14ac:dyDescent="0.3">
      <c r="A312" s="4">
        <v>0.1</v>
      </c>
      <c r="B312" s="5" t="s">
        <v>18</v>
      </c>
      <c r="C312" s="5">
        <v>50</v>
      </c>
      <c r="D312" s="4">
        <v>404.02</v>
      </c>
      <c r="E312" s="4">
        <v>48.767000000000003</v>
      </c>
      <c r="F312" s="6">
        <v>0.12071</v>
      </c>
      <c r="G312" s="7">
        <f t="shared" si="20"/>
        <v>-1</v>
      </c>
      <c r="H312" s="1">
        <v>3294720</v>
      </c>
      <c r="I312" s="2">
        <f t="shared" si="21"/>
        <v>6.5178185122162366</v>
      </c>
      <c r="J312" s="2">
        <f t="shared" si="22"/>
        <v>5.5178185122162366</v>
      </c>
      <c r="K312" s="1">
        <f t="shared" si="23"/>
        <v>3.0351592851592767E-6</v>
      </c>
      <c r="L312" s="17">
        <f t="shared" si="24"/>
        <v>406.95255336341114</v>
      </c>
    </row>
    <row r="313" spans="1:12" x14ac:dyDescent="0.3">
      <c r="A313" s="4">
        <v>0.12589</v>
      </c>
      <c r="B313" s="5" t="s">
        <v>18</v>
      </c>
      <c r="C313" s="5">
        <v>50</v>
      </c>
      <c r="D313" s="4">
        <v>413.42</v>
      </c>
      <c r="E313" s="4">
        <v>44.962000000000003</v>
      </c>
      <c r="F313" s="6">
        <v>0.10876</v>
      </c>
      <c r="G313" s="7">
        <f t="shared" si="20"/>
        <v>-0.90000876645531558</v>
      </c>
      <c r="H313" s="1">
        <v>3294720</v>
      </c>
      <c r="I313" s="2">
        <f t="shared" si="21"/>
        <v>6.5178185122162366</v>
      </c>
      <c r="J313" s="2">
        <f t="shared" si="22"/>
        <v>5.6178097457609208</v>
      </c>
      <c r="K313" s="1">
        <f t="shared" si="23"/>
        <v>2.4109613830798948E-6</v>
      </c>
      <c r="L313" s="17">
        <f t="shared" si="24"/>
        <v>415.85776155315415</v>
      </c>
    </row>
    <row r="314" spans="1:12" x14ac:dyDescent="0.3">
      <c r="A314" s="4">
        <v>0.15848999999999999</v>
      </c>
      <c r="B314" s="5" t="s">
        <v>18</v>
      </c>
      <c r="C314" s="5">
        <v>50</v>
      </c>
      <c r="D314" s="4">
        <v>422.06</v>
      </c>
      <c r="E314" s="4">
        <v>43.067999999999998</v>
      </c>
      <c r="F314" s="6">
        <v>0.10204000000000001</v>
      </c>
      <c r="G314" s="7">
        <f t="shared" si="20"/>
        <v>-0.79999813459339819</v>
      </c>
      <c r="H314" s="1">
        <v>3294720</v>
      </c>
      <c r="I314" s="2">
        <f t="shared" si="21"/>
        <v>6.5178185122162366</v>
      </c>
      <c r="J314" s="2">
        <f t="shared" si="22"/>
        <v>5.7178203776228385</v>
      </c>
      <c r="K314" s="1">
        <f t="shared" si="23"/>
        <v>1.9150478169974623E-6</v>
      </c>
      <c r="L314" s="17">
        <f t="shared" si="24"/>
        <v>424.25168971260445</v>
      </c>
    </row>
    <row r="315" spans="1:12" x14ac:dyDescent="0.3">
      <c r="A315" s="4">
        <v>0.19953000000000001</v>
      </c>
      <c r="B315" s="5" t="s">
        <v>18</v>
      </c>
      <c r="C315" s="5">
        <v>50</v>
      </c>
      <c r="D315" s="4">
        <v>430</v>
      </c>
      <c r="E315" s="4">
        <v>41.749000000000002</v>
      </c>
      <c r="F315" s="6">
        <v>9.7089999999999996E-2</v>
      </c>
      <c r="G315" s="7">
        <f t="shared" si="20"/>
        <v>-0.69999179744618689</v>
      </c>
      <c r="H315" s="1">
        <v>3294720</v>
      </c>
      <c r="I315" s="2">
        <f t="shared" si="21"/>
        <v>6.5178185122162366</v>
      </c>
      <c r="J315" s="2">
        <f t="shared" si="22"/>
        <v>5.8178267147700495</v>
      </c>
      <c r="K315" s="1">
        <f t="shared" si="23"/>
        <v>1.5211543553146294E-6</v>
      </c>
      <c r="L315" s="17">
        <f t="shared" si="24"/>
        <v>432.02196587789376</v>
      </c>
    </row>
    <row r="316" spans="1:12" x14ac:dyDescent="0.3">
      <c r="A316" s="4">
        <v>0.25119000000000002</v>
      </c>
      <c r="B316" s="5" t="s">
        <v>18</v>
      </c>
      <c r="C316" s="5">
        <v>50</v>
      </c>
      <c r="D316" s="4">
        <v>437.15</v>
      </c>
      <c r="E316" s="4">
        <v>40.442999999999998</v>
      </c>
      <c r="F316" s="6">
        <v>9.2520000000000005E-2</v>
      </c>
      <c r="G316" s="7">
        <f t="shared" si="20"/>
        <v>-0.59999765407204408</v>
      </c>
      <c r="H316" s="1">
        <v>3294720</v>
      </c>
      <c r="I316" s="2">
        <f t="shared" si="21"/>
        <v>6.5178185122162366</v>
      </c>
      <c r="J316" s="2">
        <f t="shared" si="22"/>
        <v>5.9178208581441929</v>
      </c>
      <c r="K316" s="1">
        <f t="shared" si="23"/>
        <v>1.2083121482380965E-6</v>
      </c>
      <c r="L316" s="17">
        <f t="shared" si="24"/>
        <v>439.01680918730204</v>
      </c>
    </row>
    <row r="317" spans="1:12" x14ac:dyDescent="0.3">
      <c r="A317" s="4">
        <v>0.31623000000000001</v>
      </c>
      <c r="B317" s="5" t="s">
        <v>18</v>
      </c>
      <c r="C317" s="5">
        <v>50</v>
      </c>
      <c r="D317" s="4">
        <v>443.95</v>
      </c>
      <c r="E317" s="4">
        <v>39.508000000000003</v>
      </c>
      <c r="F317" s="6">
        <v>8.899E-2</v>
      </c>
      <c r="G317" s="7">
        <f t="shared" si="20"/>
        <v>-0.4999969319483068</v>
      </c>
      <c r="H317" s="1">
        <v>3294720</v>
      </c>
      <c r="I317" s="2">
        <f t="shared" si="21"/>
        <v>6.5178185122162366</v>
      </c>
      <c r="J317" s="2">
        <f t="shared" si="22"/>
        <v>6.0178215802679302</v>
      </c>
      <c r="K317" s="1">
        <f t="shared" si="23"/>
        <v>9.5979485980434332E-7</v>
      </c>
      <c r="L317" s="17">
        <f t="shared" si="24"/>
        <v>445.70448120251154</v>
      </c>
    </row>
    <row r="318" spans="1:12" x14ac:dyDescent="0.3">
      <c r="A318" s="4">
        <v>0.39811000000000002</v>
      </c>
      <c r="B318" s="5" t="s">
        <v>18</v>
      </c>
      <c r="C318" s="5">
        <v>50</v>
      </c>
      <c r="D318" s="4">
        <v>449.84</v>
      </c>
      <c r="E318" s="4">
        <v>38.579000000000001</v>
      </c>
      <c r="F318" s="6">
        <v>8.5760000000000003E-2</v>
      </c>
      <c r="G318" s="7">
        <f t="shared" si="20"/>
        <v>-0.39999691337225962</v>
      </c>
      <c r="H318" s="1">
        <v>3294720</v>
      </c>
      <c r="I318" s="2">
        <f t="shared" si="21"/>
        <v>6.5178185122162366</v>
      </c>
      <c r="J318" s="2">
        <f t="shared" si="22"/>
        <v>6.1178215988439772</v>
      </c>
      <c r="K318" s="1">
        <f t="shared" si="23"/>
        <v>7.6239212407607818E-7</v>
      </c>
      <c r="L318" s="17">
        <f t="shared" si="24"/>
        <v>451.49126773504707</v>
      </c>
    </row>
    <row r="319" spans="1:12" x14ac:dyDescent="0.3">
      <c r="A319" s="4">
        <v>0.50119000000000002</v>
      </c>
      <c r="B319" s="5" t="s">
        <v>18</v>
      </c>
      <c r="C319" s="5">
        <v>50</v>
      </c>
      <c r="D319" s="4">
        <v>456.35</v>
      </c>
      <c r="E319" s="4">
        <v>37.823</v>
      </c>
      <c r="F319" s="6">
        <v>8.2879999999999995E-2</v>
      </c>
      <c r="G319" s="7">
        <f t="shared" si="20"/>
        <v>-0.29999760285774607</v>
      </c>
      <c r="H319" s="1">
        <v>3294720</v>
      </c>
      <c r="I319" s="2">
        <f t="shared" si="21"/>
        <v>6.5178185122162366</v>
      </c>
      <c r="J319" s="2">
        <f t="shared" si="22"/>
        <v>6.2178209093584904</v>
      </c>
      <c r="K319" s="1">
        <f t="shared" si="23"/>
        <v>6.0559055151924009E-7</v>
      </c>
      <c r="L319" s="17">
        <f t="shared" si="24"/>
        <v>457.91473205062971</v>
      </c>
    </row>
    <row r="320" spans="1:12" x14ac:dyDescent="0.3">
      <c r="A320" s="4">
        <v>0.63095999999999997</v>
      </c>
      <c r="B320" s="5" t="s">
        <v>18</v>
      </c>
      <c r="C320" s="5">
        <v>50</v>
      </c>
      <c r="D320" s="4">
        <v>461.97</v>
      </c>
      <c r="E320" s="4">
        <v>37.051000000000002</v>
      </c>
      <c r="F320" s="6">
        <v>8.0199999999999994E-2</v>
      </c>
      <c r="G320" s="7">
        <f t="shared" si="20"/>
        <v>-0.19999817218203128</v>
      </c>
      <c r="H320" s="1">
        <v>3294720</v>
      </c>
      <c r="I320" s="2">
        <f t="shared" si="21"/>
        <v>6.5178185122162366</v>
      </c>
      <c r="J320" s="2">
        <f t="shared" si="22"/>
        <v>6.3178203400342055</v>
      </c>
      <c r="K320" s="1">
        <f t="shared" si="23"/>
        <v>4.8103830435515389E-7</v>
      </c>
      <c r="L320" s="17">
        <f t="shared" si="24"/>
        <v>463.45340380776145</v>
      </c>
    </row>
    <row r="321" spans="1:12" x14ac:dyDescent="0.3">
      <c r="A321" s="4">
        <v>0.79432999999999998</v>
      </c>
      <c r="B321" s="5" t="s">
        <v>18</v>
      </c>
      <c r="C321" s="5">
        <v>50</v>
      </c>
      <c r="D321" s="4">
        <v>467.78</v>
      </c>
      <c r="E321" s="4">
        <v>36.402000000000001</v>
      </c>
      <c r="F321" s="6">
        <v>7.782E-2</v>
      </c>
      <c r="G321" s="7">
        <f t="shared" si="20"/>
        <v>-9.9999034846530471E-2</v>
      </c>
      <c r="H321" s="1">
        <v>3294720</v>
      </c>
      <c r="I321" s="2">
        <f t="shared" si="21"/>
        <v>6.5178185122162366</v>
      </c>
      <c r="J321" s="2">
        <f t="shared" si="22"/>
        <v>6.4178194773697061</v>
      </c>
      <c r="K321" s="1">
        <f t="shared" si="23"/>
        <v>3.8210306612607823E-7</v>
      </c>
      <c r="L321" s="17">
        <f t="shared" si="24"/>
        <v>469.19423909933079</v>
      </c>
    </row>
    <row r="322" spans="1:12" x14ac:dyDescent="0.3">
      <c r="A322" s="4">
        <v>1</v>
      </c>
      <c r="B322" s="5" t="s">
        <v>18</v>
      </c>
      <c r="C322" s="5">
        <v>50</v>
      </c>
      <c r="D322" s="4">
        <v>473.13</v>
      </c>
      <c r="E322" s="4">
        <v>35.912999999999997</v>
      </c>
      <c r="F322" s="6">
        <v>7.5910000000000005E-2</v>
      </c>
      <c r="G322" s="7">
        <f t="shared" si="20"/>
        <v>0</v>
      </c>
      <c r="H322" s="1">
        <v>3294720</v>
      </c>
      <c r="I322" s="2">
        <f t="shared" si="21"/>
        <v>6.5178185122162366</v>
      </c>
      <c r="J322" s="2">
        <f t="shared" si="22"/>
        <v>6.5178185122162366</v>
      </c>
      <c r="K322" s="1">
        <f t="shared" si="23"/>
        <v>3.0351592851592788E-7</v>
      </c>
      <c r="L322" s="17">
        <f t="shared" si="24"/>
        <v>474.49103307544181</v>
      </c>
    </row>
    <row r="323" spans="1:12" x14ac:dyDescent="0.3">
      <c r="A323" s="4">
        <v>1.2589300000000001</v>
      </c>
      <c r="B323" s="5" t="s">
        <v>18</v>
      </c>
      <c r="C323" s="5">
        <v>50</v>
      </c>
      <c r="D323" s="4">
        <v>478.17</v>
      </c>
      <c r="E323" s="4">
        <v>35.649000000000001</v>
      </c>
      <c r="F323" s="6">
        <v>7.4550000000000005E-2</v>
      </c>
      <c r="G323" s="7">
        <f t="shared" ref="G323:G386" si="25">LOG(A323)</f>
        <v>0.10000158280135207</v>
      </c>
      <c r="H323" s="1">
        <v>3294720</v>
      </c>
      <c r="I323" s="2">
        <f t="shared" ref="I323:I386" si="26">LOG(H323)</f>
        <v>6.5178185122162366</v>
      </c>
      <c r="J323" s="2">
        <f t="shared" ref="J323:J386" si="27">G323+I323</f>
        <v>6.6178200950175885</v>
      </c>
      <c r="K323" s="1">
        <f t="shared" ref="K323:K386" si="28">1/10^J323</f>
        <v>2.4109039304483027E-7</v>
      </c>
      <c r="L323" s="17">
        <f t="shared" ref="L323:L386" si="29">SQRT(D323^2+E323^2)</f>
        <v>479.49702825043664</v>
      </c>
    </row>
    <row r="324" spans="1:12" x14ac:dyDescent="0.3">
      <c r="A324" s="4">
        <v>1.5848899999999999</v>
      </c>
      <c r="B324" s="5" t="s">
        <v>18</v>
      </c>
      <c r="C324" s="5">
        <v>50</v>
      </c>
      <c r="D324" s="4">
        <v>483.42</v>
      </c>
      <c r="E324" s="4">
        <v>34.904000000000003</v>
      </c>
      <c r="F324" s="6">
        <v>7.22E-2</v>
      </c>
      <c r="G324" s="7">
        <f t="shared" si="25"/>
        <v>0.19999912519679666</v>
      </c>
      <c r="H324" s="1">
        <v>3294720</v>
      </c>
      <c r="I324" s="2">
        <f t="shared" si="26"/>
        <v>6.5178185122162366</v>
      </c>
      <c r="J324" s="2">
        <f t="shared" si="27"/>
        <v>6.7178176374130336</v>
      </c>
      <c r="K324" s="1">
        <f t="shared" si="28"/>
        <v>1.9150599001566514E-7</v>
      </c>
      <c r="L324" s="17">
        <f t="shared" si="29"/>
        <v>484.67843527023155</v>
      </c>
    </row>
    <row r="325" spans="1:12" x14ac:dyDescent="0.3">
      <c r="A325" s="4">
        <v>1.99526</v>
      </c>
      <c r="B325" s="5" t="s">
        <v>18</v>
      </c>
      <c r="C325" s="5">
        <v>50</v>
      </c>
      <c r="D325" s="4">
        <v>488.6</v>
      </c>
      <c r="E325" s="4">
        <v>34.520000000000003</v>
      </c>
      <c r="F325" s="6">
        <v>7.0650000000000004E-2</v>
      </c>
      <c r="G325" s="7">
        <f t="shared" si="25"/>
        <v>0.29999949611698379</v>
      </c>
      <c r="H325" s="1">
        <v>3294720</v>
      </c>
      <c r="I325" s="2">
        <f t="shared" si="26"/>
        <v>6.5178185122162366</v>
      </c>
      <c r="J325" s="2">
        <f t="shared" si="27"/>
        <v>6.8178180083332203</v>
      </c>
      <c r="K325" s="1">
        <f t="shared" si="28"/>
        <v>1.5211848506757396E-7</v>
      </c>
      <c r="L325" s="17">
        <f t="shared" si="29"/>
        <v>489.81791555638307</v>
      </c>
    </row>
    <row r="326" spans="1:12" x14ac:dyDescent="0.3">
      <c r="A326" s="4">
        <v>2.5118900000000002</v>
      </c>
      <c r="B326" s="5" t="s">
        <v>18</v>
      </c>
      <c r="C326" s="5">
        <v>50</v>
      </c>
      <c r="D326" s="4">
        <v>493.56</v>
      </c>
      <c r="E326" s="4">
        <v>33.923000000000002</v>
      </c>
      <c r="F326" s="6">
        <v>6.8729999999999999E-2</v>
      </c>
      <c r="G326" s="7">
        <f t="shared" si="25"/>
        <v>0.40000061697637995</v>
      </c>
      <c r="H326" s="1">
        <v>3294720</v>
      </c>
      <c r="I326" s="2">
        <f t="shared" si="26"/>
        <v>6.5178185122162366</v>
      </c>
      <c r="J326" s="2">
        <f t="shared" si="27"/>
        <v>6.9178191291926163</v>
      </c>
      <c r="K326" s="1">
        <f t="shared" si="28"/>
        <v>1.2083169586085696E-7</v>
      </c>
      <c r="L326" s="17">
        <f t="shared" si="29"/>
        <v>494.72441169705786</v>
      </c>
    </row>
    <row r="327" spans="1:12" x14ac:dyDescent="0.3">
      <c r="A327" s="4">
        <v>3.16228</v>
      </c>
      <c r="B327" s="5" t="s">
        <v>18</v>
      </c>
      <c r="C327" s="5">
        <v>50</v>
      </c>
      <c r="D327" s="4">
        <v>498.42</v>
      </c>
      <c r="E327" s="4">
        <v>33.442</v>
      </c>
      <c r="F327" s="6">
        <v>6.7100000000000007E-2</v>
      </c>
      <c r="G327" s="7">
        <f t="shared" si="25"/>
        <v>0.50000032134293526</v>
      </c>
      <c r="H327" s="1">
        <v>3294720</v>
      </c>
      <c r="I327" s="2">
        <f t="shared" si="26"/>
        <v>6.5178185122162366</v>
      </c>
      <c r="J327" s="2">
        <f t="shared" si="27"/>
        <v>7.017818833559172</v>
      </c>
      <c r="K327" s="1">
        <f t="shared" si="28"/>
        <v>9.5980093007554008E-8</v>
      </c>
      <c r="L327" s="17">
        <f t="shared" si="29"/>
        <v>499.54065276411689</v>
      </c>
    </row>
    <row r="328" spans="1:12" x14ac:dyDescent="0.3">
      <c r="A328" s="4">
        <v>3.9810699999999999</v>
      </c>
      <c r="B328" s="5" t="s">
        <v>18</v>
      </c>
      <c r="C328" s="5">
        <v>50</v>
      </c>
      <c r="D328" s="4">
        <v>503.32</v>
      </c>
      <c r="E328" s="4">
        <v>33.113999999999997</v>
      </c>
      <c r="F328" s="6">
        <v>6.5790000000000001E-2</v>
      </c>
      <c r="G328" s="7">
        <f t="shared" si="25"/>
        <v>0.59999981394342006</v>
      </c>
      <c r="H328" s="1">
        <v>3294720</v>
      </c>
      <c r="I328" s="2">
        <f t="shared" si="26"/>
        <v>6.5178185122162366</v>
      </c>
      <c r="J328" s="2">
        <f t="shared" si="27"/>
        <v>7.1178183261596564</v>
      </c>
      <c r="K328" s="1">
        <f t="shared" si="28"/>
        <v>7.6239786920583668E-8</v>
      </c>
      <c r="L328" s="17">
        <f t="shared" si="29"/>
        <v>504.40812780525255</v>
      </c>
    </row>
    <row r="329" spans="1:12" x14ac:dyDescent="0.3">
      <c r="A329" s="4">
        <v>5.01187</v>
      </c>
      <c r="B329" s="5" t="s">
        <v>18</v>
      </c>
      <c r="C329" s="5">
        <v>50</v>
      </c>
      <c r="D329" s="4">
        <v>508.18</v>
      </c>
      <c r="E329" s="4">
        <v>32.758000000000003</v>
      </c>
      <c r="F329" s="6">
        <v>6.4460000000000003E-2</v>
      </c>
      <c r="G329" s="7">
        <f t="shared" si="25"/>
        <v>0.69999979755458241</v>
      </c>
      <c r="H329" s="1">
        <v>3294720</v>
      </c>
      <c r="I329" s="2">
        <f t="shared" si="26"/>
        <v>6.5178185122162366</v>
      </c>
      <c r="J329" s="2">
        <f t="shared" si="27"/>
        <v>7.2178183097708191</v>
      </c>
      <c r="K329" s="1">
        <f t="shared" si="28"/>
        <v>6.0559417645694589E-8</v>
      </c>
      <c r="L329" s="17">
        <f t="shared" si="29"/>
        <v>509.23471893027875</v>
      </c>
    </row>
    <row r="330" spans="1:12" x14ac:dyDescent="0.3">
      <c r="A330" s="4">
        <v>6.3095800000000004</v>
      </c>
      <c r="B330" s="5" t="s">
        <v>18</v>
      </c>
      <c r="C330" s="5">
        <v>50</v>
      </c>
      <c r="D330" s="4">
        <v>512.77</v>
      </c>
      <c r="E330" s="4">
        <v>32.427</v>
      </c>
      <c r="F330" s="6">
        <v>6.3240000000000005E-2</v>
      </c>
      <c r="G330" s="7">
        <f t="shared" si="25"/>
        <v>0.80000045120084495</v>
      </c>
      <c r="H330" s="1">
        <v>3294720</v>
      </c>
      <c r="I330" s="2">
        <f t="shared" si="26"/>
        <v>6.5178185122162366</v>
      </c>
      <c r="J330" s="2">
        <f t="shared" si="27"/>
        <v>7.317818963417082</v>
      </c>
      <c r="K330" s="1">
        <f t="shared" si="28"/>
        <v>4.8103982914223637E-8</v>
      </c>
      <c r="L330" s="17">
        <f t="shared" si="29"/>
        <v>513.79430050264273</v>
      </c>
    </row>
    <row r="331" spans="1:12" x14ac:dyDescent="0.3">
      <c r="A331" s="4">
        <v>7.9432900000000002</v>
      </c>
      <c r="B331" s="5" t="s">
        <v>18</v>
      </c>
      <c r="C331" s="5">
        <v>50</v>
      </c>
      <c r="D331" s="4">
        <v>517.41999999999996</v>
      </c>
      <c r="E331" s="4">
        <v>32.185000000000002</v>
      </c>
      <c r="F331" s="6">
        <v>6.2199999999999998E-2</v>
      </c>
      <c r="G331" s="7">
        <f t="shared" si="25"/>
        <v>0.90000041840998102</v>
      </c>
      <c r="H331" s="1">
        <v>3294720</v>
      </c>
      <c r="I331" s="2">
        <f t="shared" si="26"/>
        <v>6.5178185122162366</v>
      </c>
      <c r="J331" s="2">
        <f t="shared" si="27"/>
        <v>7.4178189306262174</v>
      </c>
      <c r="K331" s="1">
        <f t="shared" si="28"/>
        <v>3.8210354716487485E-8</v>
      </c>
      <c r="L331" s="17">
        <f t="shared" si="29"/>
        <v>518.42003300894919</v>
      </c>
    </row>
    <row r="332" spans="1:12" x14ac:dyDescent="0.3">
      <c r="A332" s="4">
        <v>10</v>
      </c>
      <c r="B332" s="5" t="s">
        <v>18</v>
      </c>
      <c r="C332" s="5">
        <v>50</v>
      </c>
      <c r="D332" s="4">
        <v>522.32000000000005</v>
      </c>
      <c r="E332" s="4">
        <v>31.963999999999999</v>
      </c>
      <c r="F332" s="6">
        <v>6.1199999999999997E-2</v>
      </c>
      <c r="G332" s="7">
        <f t="shared" si="25"/>
        <v>1</v>
      </c>
      <c r="H332" s="1">
        <v>3294720</v>
      </c>
      <c r="I332" s="2">
        <f t="shared" si="26"/>
        <v>6.5178185122162366</v>
      </c>
      <c r="J332" s="2">
        <f t="shared" si="27"/>
        <v>7.5178185122162366</v>
      </c>
      <c r="K332" s="1">
        <f t="shared" si="28"/>
        <v>3.0351592851592752E-8</v>
      </c>
      <c r="L332" s="17">
        <f t="shared" si="29"/>
        <v>523.29712372226936</v>
      </c>
    </row>
    <row r="333" spans="1:12" x14ac:dyDescent="0.3">
      <c r="A333" s="4">
        <v>12.5893</v>
      </c>
      <c r="B333" s="5" t="s">
        <v>18</v>
      </c>
      <c r="C333" s="5">
        <v>50</v>
      </c>
      <c r="D333" s="4">
        <v>527.14</v>
      </c>
      <c r="E333" s="4">
        <v>31.696999999999999</v>
      </c>
      <c r="F333" s="6">
        <v>6.0130000000000003E-2</v>
      </c>
      <c r="G333" s="7">
        <f t="shared" si="25"/>
        <v>1.1000015828013521</v>
      </c>
      <c r="H333" s="1">
        <v>3294720</v>
      </c>
      <c r="I333" s="2">
        <f t="shared" si="26"/>
        <v>6.5178185122162366</v>
      </c>
      <c r="J333" s="2">
        <f t="shared" si="27"/>
        <v>7.6178200950175885</v>
      </c>
      <c r="K333" s="1">
        <f t="shared" si="28"/>
        <v>2.4109039304483043E-8</v>
      </c>
      <c r="L333" s="17">
        <f t="shared" si="29"/>
        <v>528.09211261767587</v>
      </c>
    </row>
    <row r="334" spans="1:12" x14ac:dyDescent="0.3">
      <c r="A334" s="4">
        <v>15.8489</v>
      </c>
      <c r="B334" s="5" t="s">
        <v>18</v>
      </c>
      <c r="C334" s="5">
        <v>50</v>
      </c>
      <c r="D334" s="4">
        <v>531.72</v>
      </c>
      <c r="E334" s="4">
        <v>31.478000000000002</v>
      </c>
      <c r="F334" s="6">
        <v>5.9200000000000003E-2</v>
      </c>
      <c r="G334" s="7">
        <f t="shared" si="25"/>
        <v>1.1999991251967967</v>
      </c>
      <c r="H334" s="1">
        <v>3294720</v>
      </c>
      <c r="I334" s="2">
        <f t="shared" si="26"/>
        <v>6.5178185122162366</v>
      </c>
      <c r="J334" s="2">
        <f t="shared" si="27"/>
        <v>7.7178176374130336</v>
      </c>
      <c r="K334" s="1">
        <f t="shared" si="28"/>
        <v>1.9150599001566493E-8</v>
      </c>
      <c r="L334" s="17">
        <f t="shared" si="29"/>
        <v>532.65093906234699</v>
      </c>
    </row>
    <row r="335" spans="1:12" x14ac:dyDescent="0.3">
      <c r="A335" s="4">
        <v>19.9526</v>
      </c>
      <c r="B335" s="5" t="s">
        <v>18</v>
      </c>
      <c r="C335" s="5">
        <v>50</v>
      </c>
      <c r="D335" s="4">
        <v>536.28</v>
      </c>
      <c r="E335" s="4">
        <v>31.363</v>
      </c>
      <c r="F335" s="6">
        <v>5.8479999999999997E-2</v>
      </c>
      <c r="G335" s="7">
        <f t="shared" si="25"/>
        <v>1.2999994961169838</v>
      </c>
      <c r="H335" s="1">
        <v>3294720</v>
      </c>
      <c r="I335" s="2">
        <f t="shared" si="26"/>
        <v>6.5178185122162366</v>
      </c>
      <c r="J335" s="2">
        <f t="shared" si="27"/>
        <v>7.8178180083332203</v>
      </c>
      <c r="K335" s="1">
        <f t="shared" si="28"/>
        <v>1.5211848506757408E-8</v>
      </c>
      <c r="L335" s="17">
        <f t="shared" si="29"/>
        <v>537.19631064351142</v>
      </c>
    </row>
    <row r="336" spans="1:12" x14ac:dyDescent="0.3">
      <c r="A336" s="4">
        <v>25.1189</v>
      </c>
      <c r="B336" s="5" t="s">
        <v>18</v>
      </c>
      <c r="C336" s="5">
        <v>50</v>
      </c>
      <c r="D336" s="4">
        <v>540.83000000000004</v>
      </c>
      <c r="E336" s="4">
        <v>31.262</v>
      </c>
      <c r="F336" s="6">
        <v>5.7799999999999997E-2</v>
      </c>
      <c r="G336" s="7">
        <f t="shared" si="25"/>
        <v>1.4000006169763799</v>
      </c>
      <c r="H336" s="1">
        <v>3294720</v>
      </c>
      <c r="I336" s="2">
        <f t="shared" si="26"/>
        <v>6.5178185122162366</v>
      </c>
      <c r="J336" s="2">
        <f t="shared" si="27"/>
        <v>7.9178191291926163</v>
      </c>
      <c r="K336" s="1">
        <f t="shared" si="28"/>
        <v>1.2083169586085683E-8</v>
      </c>
      <c r="L336" s="17">
        <f t="shared" si="29"/>
        <v>541.73277687804716</v>
      </c>
    </row>
    <row r="337" spans="1:12" x14ac:dyDescent="0.3">
      <c r="A337" s="4">
        <v>31.622800000000002</v>
      </c>
      <c r="B337" s="5" t="s">
        <v>18</v>
      </c>
      <c r="C337" s="5">
        <v>50</v>
      </c>
      <c r="D337" s="4">
        <v>545.48</v>
      </c>
      <c r="E337" s="4">
        <v>31.306000000000001</v>
      </c>
      <c r="F337" s="6">
        <v>5.7389999999999997E-2</v>
      </c>
      <c r="G337" s="7">
        <f t="shared" si="25"/>
        <v>1.5000003213429354</v>
      </c>
      <c r="H337" s="1">
        <v>3294720</v>
      </c>
      <c r="I337" s="2">
        <f t="shared" si="26"/>
        <v>6.5178185122162366</v>
      </c>
      <c r="J337" s="2">
        <f t="shared" si="27"/>
        <v>8.017818833559172</v>
      </c>
      <c r="K337" s="1">
        <f t="shared" si="28"/>
        <v>9.5980093007553886E-9</v>
      </c>
      <c r="L337" s="17">
        <f t="shared" si="29"/>
        <v>546.37761304431206</v>
      </c>
    </row>
    <row r="338" spans="1:12" x14ac:dyDescent="0.3">
      <c r="A338" s="4">
        <v>39.810699999999997</v>
      </c>
      <c r="B338" s="5" t="s">
        <v>18</v>
      </c>
      <c r="C338" s="5">
        <v>50</v>
      </c>
      <c r="D338" s="4">
        <v>549.66999999999996</v>
      </c>
      <c r="E338" s="4">
        <v>31.113</v>
      </c>
      <c r="F338" s="6">
        <v>5.6599999999999998E-2</v>
      </c>
      <c r="G338" s="7">
        <f t="shared" si="25"/>
        <v>1.5999998139434199</v>
      </c>
      <c r="H338" s="1">
        <v>3294720</v>
      </c>
      <c r="I338" s="2">
        <f t="shared" si="26"/>
        <v>6.5178185122162366</v>
      </c>
      <c r="J338" s="2">
        <f t="shared" si="27"/>
        <v>8.1178183261596573</v>
      </c>
      <c r="K338" s="1">
        <f t="shared" si="28"/>
        <v>7.6239786920583588E-9</v>
      </c>
      <c r="L338" s="17">
        <f t="shared" si="29"/>
        <v>550.54984122148278</v>
      </c>
    </row>
    <row r="339" spans="1:12" x14ac:dyDescent="0.3">
      <c r="A339" s="4">
        <v>50.1188</v>
      </c>
      <c r="B339" s="5" t="s">
        <v>18</v>
      </c>
      <c r="C339" s="5">
        <v>50</v>
      </c>
      <c r="D339" s="4">
        <v>553.98</v>
      </c>
      <c r="E339" s="4">
        <v>31.01</v>
      </c>
      <c r="F339" s="6">
        <v>5.5980000000000002E-2</v>
      </c>
      <c r="G339" s="7">
        <f t="shared" si="25"/>
        <v>1.7000006640855352</v>
      </c>
      <c r="H339" s="1">
        <v>3294720</v>
      </c>
      <c r="I339" s="2">
        <f t="shared" si="26"/>
        <v>6.5178185122162366</v>
      </c>
      <c r="J339" s="2">
        <f t="shared" si="27"/>
        <v>8.2178191763017718</v>
      </c>
      <c r="K339" s="1">
        <f t="shared" si="28"/>
        <v>6.055929681395548E-9</v>
      </c>
      <c r="L339" s="17">
        <f t="shared" si="29"/>
        <v>554.84724068882247</v>
      </c>
    </row>
    <row r="340" spans="1:12" x14ac:dyDescent="0.3">
      <c r="A340" s="4">
        <v>63.095799999999997</v>
      </c>
      <c r="B340" s="5" t="s">
        <v>18</v>
      </c>
      <c r="C340" s="5">
        <v>50</v>
      </c>
      <c r="D340" s="4">
        <v>558.04999999999995</v>
      </c>
      <c r="E340" s="4">
        <v>30.939</v>
      </c>
      <c r="F340" s="6">
        <v>5.5440000000000003E-2</v>
      </c>
      <c r="G340" s="7">
        <f t="shared" si="25"/>
        <v>1.800000451200845</v>
      </c>
      <c r="H340" s="1">
        <v>3294720</v>
      </c>
      <c r="I340" s="2">
        <f t="shared" si="26"/>
        <v>6.5178185122162366</v>
      </c>
      <c r="J340" s="2">
        <f t="shared" si="27"/>
        <v>8.317818963417082</v>
      </c>
      <c r="K340" s="1">
        <f t="shared" si="28"/>
        <v>4.8103982914223754E-9</v>
      </c>
      <c r="L340" s="17">
        <f t="shared" si="29"/>
        <v>558.90699067107755</v>
      </c>
    </row>
    <row r="341" spans="1:12" x14ac:dyDescent="0.3">
      <c r="A341" s="4">
        <v>79.432900000000004</v>
      </c>
      <c r="B341" s="5" t="s">
        <v>18</v>
      </c>
      <c r="C341" s="5">
        <v>50</v>
      </c>
      <c r="D341" s="4">
        <v>562.47</v>
      </c>
      <c r="E341" s="4">
        <v>30.803999999999998</v>
      </c>
      <c r="F341" s="6">
        <v>5.4760000000000003E-2</v>
      </c>
      <c r="G341" s="7">
        <f t="shared" si="25"/>
        <v>1.900000418409981</v>
      </c>
      <c r="H341" s="1">
        <v>3294720</v>
      </c>
      <c r="I341" s="2">
        <f t="shared" si="26"/>
        <v>6.5178185122162366</v>
      </c>
      <c r="J341" s="2">
        <f t="shared" si="27"/>
        <v>8.4178189306262183</v>
      </c>
      <c r="K341" s="1">
        <f t="shared" si="28"/>
        <v>3.8210354716487448E-9</v>
      </c>
      <c r="L341" s="17">
        <f t="shared" si="29"/>
        <v>563.31286805468949</v>
      </c>
    </row>
    <row r="342" spans="1:12" x14ac:dyDescent="0.3">
      <c r="A342" s="4">
        <v>100</v>
      </c>
      <c r="B342" s="5" t="s">
        <v>18</v>
      </c>
      <c r="C342" s="5">
        <v>50</v>
      </c>
      <c r="D342" s="4">
        <v>566.61</v>
      </c>
      <c r="E342" s="4">
        <v>30.584</v>
      </c>
      <c r="F342" s="6">
        <v>5.398E-2</v>
      </c>
      <c r="G342" s="7">
        <f t="shared" si="25"/>
        <v>2</v>
      </c>
      <c r="H342" s="1">
        <v>3294720</v>
      </c>
      <c r="I342" s="2">
        <f t="shared" si="26"/>
        <v>6.5178185122162366</v>
      </c>
      <c r="J342" s="2">
        <f t="shared" si="27"/>
        <v>8.5178185122162375</v>
      </c>
      <c r="K342" s="1">
        <f t="shared" si="28"/>
        <v>3.0351592851592721E-9</v>
      </c>
      <c r="L342" s="17">
        <f t="shared" si="29"/>
        <v>567.43481842058304</v>
      </c>
    </row>
    <row r="343" spans="1:12" x14ac:dyDescent="0.3">
      <c r="A343" s="9">
        <v>0.1</v>
      </c>
      <c r="B343" s="10" t="s">
        <v>19</v>
      </c>
      <c r="C343" s="5">
        <v>60</v>
      </c>
      <c r="D343" s="9">
        <v>321.64999999999998</v>
      </c>
      <c r="E343" s="9">
        <v>52.728999999999999</v>
      </c>
      <c r="F343" s="11">
        <v>0.16392999999999999</v>
      </c>
      <c r="G343" s="12">
        <f t="shared" si="25"/>
        <v>-1</v>
      </c>
      <c r="H343" s="1">
        <v>275875.19999999995</v>
      </c>
      <c r="I343" s="2">
        <f t="shared" si="26"/>
        <v>5.4407126610183383</v>
      </c>
      <c r="J343" s="2">
        <f t="shared" si="27"/>
        <v>4.4407126610183383</v>
      </c>
      <c r="K343" s="1">
        <f t="shared" si="28"/>
        <v>3.624827458212985E-5</v>
      </c>
      <c r="L343" s="17">
        <f t="shared" si="29"/>
        <v>325.94335388376919</v>
      </c>
    </row>
    <row r="344" spans="1:12" x14ac:dyDescent="0.3">
      <c r="A344" s="9">
        <v>0.12589</v>
      </c>
      <c r="B344" s="10" t="s">
        <v>19</v>
      </c>
      <c r="C344" s="5">
        <v>60</v>
      </c>
      <c r="D344" s="9">
        <v>332.16</v>
      </c>
      <c r="E344" s="9">
        <v>49.664999999999999</v>
      </c>
      <c r="F344" s="11">
        <v>0.14951999999999999</v>
      </c>
      <c r="G344" s="12">
        <f t="shared" si="25"/>
        <v>-0.90000876645531558</v>
      </c>
      <c r="H344" s="1">
        <v>275875.19999999995</v>
      </c>
      <c r="I344" s="2">
        <f t="shared" si="26"/>
        <v>5.4407126610183383</v>
      </c>
      <c r="J344" s="2">
        <f t="shared" si="27"/>
        <v>4.5407038945630225</v>
      </c>
      <c r="K344" s="1">
        <f t="shared" si="28"/>
        <v>2.8793609168424729E-5</v>
      </c>
      <c r="L344" s="17">
        <f t="shared" si="29"/>
        <v>335.85246437237885</v>
      </c>
    </row>
    <row r="345" spans="1:12" x14ac:dyDescent="0.3">
      <c r="A345" s="9">
        <v>0.15848999999999999</v>
      </c>
      <c r="B345" s="10" t="s">
        <v>19</v>
      </c>
      <c r="C345" s="5">
        <v>60</v>
      </c>
      <c r="D345" s="9">
        <v>342.17</v>
      </c>
      <c r="E345" s="9">
        <v>47.381999999999998</v>
      </c>
      <c r="F345" s="11">
        <v>0.13847000000000001</v>
      </c>
      <c r="G345" s="12">
        <f t="shared" si="25"/>
        <v>-0.79999813459339819</v>
      </c>
      <c r="H345" s="1">
        <v>275875.19999999995</v>
      </c>
      <c r="I345" s="2">
        <f t="shared" si="26"/>
        <v>5.4407126610183383</v>
      </c>
      <c r="J345" s="2">
        <f t="shared" si="27"/>
        <v>4.6407145264249401</v>
      </c>
      <c r="K345" s="1">
        <f t="shared" si="28"/>
        <v>2.2871016835213496E-5</v>
      </c>
      <c r="L345" s="17">
        <f t="shared" si="29"/>
        <v>345.43503415837836</v>
      </c>
    </row>
    <row r="346" spans="1:12" x14ac:dyDescent="0.3">
      <c r="A346" s="9">
        <v>0.19953000000000001</v>
      </c>
      <c r="B346" s="10" t="s">
        <v>19</v>
      </c>
      <c r="C346" s="5">
        <v>60</v>
      </c>
      <c r="D346" s="9">
        <v>351.04</v>
      </c>
      <c r="E346" s="9">
        <v>45.478999999999999</v>
      </c>
      <c r="F346" s="11">
        <v>0.12955</v>
      </c>
      <c r="G346" s="12">
        <f t="shared" si="25"/>
        <v>-0.69999179744618689</v>
      </c>
      <c r="H346" s="1">
        <v>275875.19999999995</v>
      </c>
      <c r="I346" s="2">
        <f t="shared" si="26"/>
        <v>5.4407126610183383</v>
      </c>
      <c r="J346" s="2">
        <f t="shared" si="27"/>
        <v>4.7407208635721512</v>
      </c>
      <c r="K346" s="1">
        <f t="shared" si="28"/>
        <v>1.8166829340013946E-5</v>
      </c>
      <c r="L346" s="17">
        <f t="shared" si="29"/>
        <v>353.97375755979431</v>
      </c>
    </row>
    <row r="347" spans="1:12" x14ac:dyDescent="0.3">
      <c r="A347" s="9">
        <v>0.25119000000000002</v>
      </c>
      <c r="B347" s="10" t="s">
        <v>19</v>
      </c>
      <c r="C347" s="5">
        <v>60</v>
      </c>
      <c r="D347" s="9">
        <v>358.97</v>
      </c>
      <c r="E347" s="9">
        <v>44.225000000000001</v>
      </c>
      <c r="F347" s="11">
        <v>0.1232</v>
      </c>
      <c r="G347" s="12">
        <f t="shared" si="25"/>
        <v>-0.59999765407204408</v>
      </c>
      <c r="H347" s="1">
        <v>275875.19999999995</v>
      </c>
      <c r="I347" s="2">
        <f t="shared" si="26"/>
        <v>5.4407126610183383</v>
      </c>
      <c r="J347" s="2">
        <f t="shared" si="27"/>
        <v>4.8407150069462945</v>
      </c>
      <c r="K347" s="1">
        <f t="shared" si="28"/>
        <v>1.4430620081265105E-5</v>
      </c>
      <c r="L347" s="17">
        <f t="shared" si="29"/>
        <v>361.68399401272933</v>
      </c>
    </row>
    <row r="348" spans="1:12" x14ac:dyDescent="0.3">
      <c r="A348" s="9">
        <v>0.31623000000000001</v>
      </c>
      <c r="B348" s="10" t="s">
        <v>19</v>
      </c>
      <c r="C348" s="5">
        <v>60</v>
      </c>
      <c r="D348" s="9">
        <v>366.78</v>
      </c>
      <c r="E348" s="9">
        <v>42.845999999999997</v>
      </c>
      <c r="F348" s="11">
        <v>0.11681999999999999</v>
      </c>
      <c r="G348" s="12">
        <f t="shared" si="25"/>
        <v>-0.4999969319483068</v>
      </c>
      <c r="H348" s="1">
        <v>275875.19999999995</v>
      </c>
      <c r="I348" s="2">
        <f t="shared" si="26"/>
        <v>5.4407126610183383</v>
      </c>
      <c r="J348" s="2">
        <f t="shared" si="27"/>
        <v>4.9407157290700319</v>
      </c>
      <c r="K348" s="1">
        <f t="shared" si="28"/>
        <v>1.1462629915608838E-5</v>
      </c>
      <c r="L348" s="17">
        <f t="shared" si="29"/>
        <v>369.27408264864727</v>
      </c>
    </row>
    <row r="349" spans="1:12" x14ac:dyDescent="0.3">
      <c r="A349" s="9">
        <v>0.39811000000000002</v>
      </c>
      <c r="B349" s="10" t="s">
        <v>19</v>
      </c>
      <c r="C349" s="5">
        <v>60</v>
      </c>
      <c r="D349" s="9">
        <v>373.73</v>
      </c>
      <c r="E349" s="9">
        <v>41.975000000000001</v>
      </c>
      <c r="F349" s="11">
        <v>0.11232</v>
      </c>
      <c r="G349" s="12">
        <f t="shared" si="25"/>
        <v>-0.39999691337225962</v>
      </c>
      <c r="H349" s="1">
        <v>275875.19999999995</v>
      </c>
      <c r="I349" s="2">
        <f t="shared" si="26"/>
        <v>5.4407126610183383</v>
      </c>
      <c r="J349" s="2">
        <f t="shared" si="27"/>
        <v>5.0407157476460789</v>
      </c>
      <c r="K349" s="1">
        <f t="shared" si="28"/>
        <v>9.1050901967119226E-6</v>
      </c>
      <c r="L349" s="17">
        <f t="shared" si="29"/>
        <v>376.07979675196594</v>
      </c>
    </row>
    <row r="350" spans="1:12" x14ac:dyDescent="0.3">
      <c r="A350" s="9">
        <v>0.50119000000000002</v>
      </c>
      <c r="B350" s="10" t="s">
        <v>19</v>
      </c>
      <c r="C350" s="5">
        <v>60</v>
      </c>
      <c r="D350" s="9">
        <v>380.49</v>
      </c>
      <c r="E350" s="9">
        <v>41.161999999999999</v>
      </c>
      <c r="F350" s="11">
        <v>0.10818</v>
      </c>
      <c r="G350" s="12">
        <f t="shared" si="25"/>
        <v>-0.29999760285774607</v>
      </c>
      <c r="H350" s="1">
        <v>275875.19999999995</v>
      </c>
      <c r="I350" s="2">
        <f t="shared" si="26"/>
        <v>5.4407126610183383</v>
      </c>
      <c r="J350" s="2">
        <f t="shared" si="27"/>
        <v>5.140715058160592</v>
      </c>
      <c r="K350" s="1">
        <f t="shared" si="28"/>
        <v>7.2324417051676655E-6</v>
      </c>
      <c r="L350" s="17">
        <f t="shared" si="29"/>
        <v>382.71000815761272</v>
      </c>
    </row>
    <row r="351" spans="1:12" x14ac:dyDescent="0.3">
      <c r="A351" s="9">
        <v>0.63095999999999997</v>
      </c>
      <c r="B351" s="10" t="s">
        <v>19</v>
      </c>
      <c r="C351" s="5">
        <v>60</v>
      </c>
      <c r="D351" s="9">
        <v>387.17</v>
      </c>
      <c r="E351" s="9">
        <v>40.340000000000003</v>
      </c>
      <c r="F351" s="11">
        <v>0.10419</v>
      </c>
      <c r="G351" s="12">
        <f t="shared" si="25"/>
        <v>-0.19999817218203128</v>
      </c>
      <c r="H351" s="1">
        <v>275875.19999999995</v>
      </c>
      <c r="I351" s="2">
        <f t="shared" si="26"/>
        <v>5.4407126610183383</v>
      </c>
      <c r="J351" s="2">
        <f t="shared" si="27"/>
        <v>5.2407144888363071</v>
      </c>
      <c r="K351" s="1">
        <f t="shared" si="28"/>
        <v>5.7449401835504329E-6</v>
      </c>
      <c r="L351" s="17">
        <f t="shared" si="29"/>
        <v>389.26587893109769</v>
      </c>
    </row>
    <row r="352" spans="1:12" x14ac:dyDescent="0.3">
      <c r="A352" s="9">
        <v>0.79432999999999998</v>
      </c>
      <c r="B352" s="10" t="s">
        <v>19</v>
      </c>
      <c r="C352" s="5">
        <v>60</v>
      </c>
      <c r="D352" s="9">
        <v>393.67</v>
      </c>
      <c r="E352" s="9">
        <v>39.54</v>
      </c>
      <c r="F352" s="11">
        <v>0.10044</v>
      </c>
      <c r="G352" s="12">
        <f t="shared" si="25"/>
        <v>-9.9999034846530471E-2</v>
      </c>
      <c r="H352" s="1">
        <v>275875.19999999995</v>
      </c>
      <c r="I352" s="2">
        <f t="shared" si="26"/>
        <v>5.4407126610183383</v>
      </c>
      <c r="J352" s="2">
        <f t="shared" si="27"/>
        <v>5.3407136261718078</v>
      </c>
      <c r="K352" s="1">
        <f t="shared" si="28"/>
        <v>4.5633772590900328E-6</v>
      </c>
      <c r="L352" s="17">
        <f t="shared" si="29"/>
        <v>395.65070516808129</v>
      </c>
    </row>
    <row r="353" spans="1:12" x14ac:dyDescent="0.3">
      <c r="A353" s="9">
        <v>1</v>
      </c>
      <c r="B353" s="10" t="s">
        <v>19</v>
      </c>
      <c r="C353" s="5">
        <v>60</v>
      </c>
      <c r="D353" s="9">
        <v>399.79</v>
      </c>
      <c r="E353" s="9">
        <v>38.92</v>
      </c>
      <c r="F353" s="11">
        <v>9.7350000000000006E-2</v>
      </c>
      <c r="G353" s="12">
        <f t="shared" si="25"/>
        <v>0</v>
      </c>
      <c r="H353" s="1">
        <v>275875.19999999995</v>
      </c>
      <c r="I353" s="2">
        <f t="shared" si="26"/>
        <v>5.4407126610183383</v>
      </c>
      <c r="J353" s="2">
        <f t="shared" si="27"/>
        <v>5.4407126610183383</v>
      </c>
      <c r="K353" s="1">
        <f t="shared" si="28"/>
        <v>3.6248274582129812E-6</v>
      </c>
      <c r="L353" s="17">
        <f t="shared" si="29"/>
        <v>401.67998518721345</v>
      </c>
    </row>
    <row r="354" spans="1:12" x14ac:dyDescent="0.3">
      <c r="A354" s="9">
        <v>1.2589300000000001</v>
      </c>
      <c r="B354" s="10" t="s">
        <v>19</v>
      </c>
      <c r="C354" s="5">
        <v>60</v>
      </c>
      <c r="D354" s="9">
        <v>405.62</v>
      </c>
      <c r="E354" s="9">
        <v>38.268999999999998</v>
      </c>
      <c r="F354" s="11">
        <v>9.4350000000000003E-2</v>
      </c>
      <c r="G354" s="12">
        <f t="shared" si="25"/>
        <v>0.10000158280135207</v>
      </c>
      <c r="H354" s="1">
        <v>275875.19999999995</v>
      </c>
      <c r="I354" s="2">
        <f t="shared" si="26"/>
        <v>5.4407126610183383</v>
      </c>
      <c r="J354" s="2">
        <f t="shared" si="27"/>
        <v>5.5407142438196901</v>
      </c>
      <c r="K354" s="1">
        <f t="shared" si="28"/>
        <v>2.8792923023623115E-6</v>
      </c>
      <c r="L354" s="17">
        <f t="shared" si="29"/>
        <v>407.42128167414131</v>
      </c>
    </row>
    <row r="355" spans="1:12" x14ac:dyDescent="0.3">
      <c r="A355" s="9">
        <v>1.5848899999999999</v>
      </c>
      <c r="B355" s="10" t="s">
        <v>19</v>
      </c>
      <c r="C355" s="5">
        <v>60</v>
      </c>
      <c r="D355" s="9">
        <v>411.26</v>
      </c>
      <c r="E355" s="9">
        <v>37.917999999999999</v>
      </c>
      <c r="F355" s="11">
        <v>9.2200000000000004E-2</v>
      </c>
      <c r="G355" s="12">
        <f t="shared" si="25"/>
        <v>0.19999912519679666</v>
      </c>
      <c r="H355" s="1">
        <v>275875.19999999995</v>
      </c>
      <c r="I355" s="2">
        <f t="shared" si="26"/>
        <v>5.4407126610183383</v>
      </c>
      <c r="J355" s="2">
        <f t="shared" si="27"/>
        <v>5.6407117862151352</v>
      </c>
      <c r="K355" s="1">
        <f t="shared" si="28"/>
        <v>2.2871161141864632E-6</v>
      </c>
      <c r="L355" s="17">
        <f t="shared" si="29"/>
        <v>413.00431271840245</v>
      </c>
    </row>
    <row r="356" spans="1:12" x14ac:dyDescent="0.3">
      <c r="A356" s="9">
        <v>1.99526</v>
      </c>
      <c r="B356" s="10" t="s">
        <v>19</v>
      </c>
      <c r="C356" s="5">
        <v>60</v>
      </c>
      <c r="D356" s="9">
        <v>416.59</v>
      </c>
      <c r="E356" s="9">
        <v>37.341999999999999</v>
      </c>
      <c r="F356" s="11">
        <v>8.9639999999999997E-2</v>
      </c>
      <c r="G356" s="12">
        <f t="shared" si="25"/>
        <v>0.29999949611698379</v>
      </c>
      <c r="H356" s="1">
        <v>275875.19999999995</v>
      </c>
      <c r="I356" s="2">
        <f t="shared" si="26"/>
        <v>5.4407126610183383</v>
      </c>
      <c r="J356" s="2">
        <f t="shared" si="27"/>
        <v>5.7407121571353219</v>
      </c>
      <c r="K356" s="1">
        <f t="shared" si="28"/>
        <v>1.8167193539754143E-6</v>
      </c>
      <c r="L356" s="17">
        <f t="shared" si="29"/>
        <v>418.26026952604519</v>
      </c>
    </row>
    <row r="357" spans="1:12" x14ac:dyDescent="0.3">
      <c r="A357" s="9">
        <v>2.5118900000000002</v>
      </c>
      <c r="B357" s="10" t="s">
        <v>19</v>
      </c>
      <c r="C357" s="5">
        <v>60</v>
      </c>
      <c r="D357" s="9">
        <v>422.07</v>
      </c>
      <c r="E357" s="9">
        <v>36.712000000000003</v>
      </c>
      <c r="F357" s="11">
        <v>8.6980000000000002E-2</v>
      </c>
      <c r="G357" s="12">
        <f t="shared" si="25"/>
        <v>0.40000061697637995</v>
      </c>
      <c r="H357" s="1">
        <v>275875.19999999995</v>
      </c>
      <c r="I357" s="2">
        <f t="shared" si="26"/>
        <v>5.4407126610183383</v>
      </c>
      <c r="J357" s="2">
        <f t="shared" si="27"/>
        <v>5.840713277994718</v>
      </c>
      <c r="K357" s="1">
        <f t="shared" si="28"/>
        <v>1.4430677530516794E-6</v>
      </c>
      <c r="L357" s="17">
        <f t="shared" si="29"/>
        <v>423.66361165906136</v>
      </c>
    </row>
    <row r="358" spans="1:12" x14ac:dyDescent="0.3">
      <c r="A358" s="9">
        <v>3.16228</v>
      </c>
      <c r="B358" s="10" t="s">
        <v>19</v>
      </c>
      <c r="C358" s="5">
        <v>60</v>
      </c>
      <c r="D358" s="9">
        <v>427.64</v>
      </c>
      <c r="E358" s="9">
        <v>36.201999999999998</v>
      </c>
      <c r="F358" s="11">
        <v>8.4659999999999999E-2</v>
      </c>
      <c r="G358" s="12">
        <f t="shared" si="25"/>
        <v>0.50000032134293526</v>
      </c>
      <c r="H358" s="1">
        <v>275875.19999999995</v>
      </c>
      <c r="I358" s="2">
        <f t="shared" si="26"/>
        <v>5.4407126610183383</v>
      </c>
      <c r="J358" s="2">
        <f t="shared" si="27"/>
        <v>5.9407129823612737</v>
      </c>
      <c r="K358" s="1">
        <f t="shared" si="28"/>
        <v>1.1462702411592211E-6</v>
      </c>
      <c r="L358" s="17">
        <f t="shared" si="29"/>
        <v>429.16961029877217</v>
      </c>
    </row>
    <row r="359" spans="1:12" x14ac:dyDescent="0.3">
      <c r="A359" s="9">
        <v>3.9810699999999999</v>
      </c>
      <c r="B359" s="10" t="s">
        <v>19</v>
      </c>
      <c r="C359" s="5">
        <v>60</v>
      </c>
      <c r="D359" s="9">
        <v>433.15</v>
      </c>
      <c r="E359" s="9">
        <v>35.911999999999999</v>
      </c>
      <c r="F359" s="11">
        <v>8.2909999999999998E-2</v>
      </c>
      <c r="G359" s="12">
        <f t="shared" si="25"/>
        <v>0.59999981394342006</v>
      </c>
      <c r="H359" s="1">
        <v>275875.19999999995</v>
      </c>
      <c r="I359" s="2">
        <f t="shared" si="26"/>
        <v>5.4407126610183383</v>
      </c>
      <c r="J359" s="2">
        <f t="shared" si="27"/>
        <v>6.040712474961758</v>
      </c>
      <c r="K359" s="1">
        <f t="shared" si="28"/>
        <v>9.1051588095989004E-7</v>
      </c>
      <c r="L359" s="17">
        <f t="shared" si="29"/>
        <v>434.63616306515496</v>
      </c>
    </row>
    <row r="360" spans="1:12" x14ac:dyDescent="0.3">
      <c r="A360" s="9">
        <v>5.01187</v>
      </c>
      <c r="B360" s="10" t="s">
        <v>19</v>
      </c>
      <c r="C360" s="5">
        <v>60</v>
      </c>
      <c r="D360" s="9">
        <v>438.28</v>
      </c>
      <c r="E360" s="9">
        <v>35.548000000000002</v>
      </c>
      <c r="F360" s="11">
        <v>8.1110000000000002E-2</v>
      </c>
      <c r="G360" s="12">
        <f t="shared" si="25"/>
        <v>0.69999979755458241</v>
      </c>
      <c r="H360" s="1">
        <v>275875.19999999995</v>
      </c>
      <c r="I360" s="2">
        <f t="shared" si="26"/>
        <v>5.4407126610183383</v>
      </c>
      <c r="J360" s="2">
        <f t="shared" si="27"/>
        <v>6.1407124585729207</v>
      </c>
      <c r="K360" s="1">
        <f t="shared" si="28"/>
        <v>7.2324849970429824E-7</v>
      </c>
      <c r="L360" s="17">
        <f t="shared" si="29"/>
        <v>439.71924986745802</v>
      </c>
    </row>
    <row r="361" spans="1:12" x14ac:dyDescent="0.3">
      <c r="A361" s="9">
        <v>6.3095800000000004</v>
      </c>
      <c r="B361" s="10" t="s">
        <v>19</v>
      </c>
      <c r="C361" s="5">
        <v>60</v>
      </c>
      <c r="D361" s="9">
        <v>443.44</v>
      </c>
      <c r="E361" s="9">
        <v>35.042000000000002</v>
      </c>
      <c r="F361" s="11">
        <v>7.9020000000000007E-2</v>
      </c>
      <c r="G361" s="12">
        <f t="shared" si="25"/>
        <v>0.80000045120084495</v>
      </c>
      <c r="H361" s="1">
        <v>275875.19999999995</v>
      </c>
      <c r="I361" s="2">
        <f t="shared" si="26"/>
        <v>5.4407126610183383</v>
      </c>
      <c r="J361" s="2">
        <f t="shared" si="27"/>
        <v>6.2407131122191828</v>
      </c>
      <c r="K361" s="1">
        <f t="shared" si="28"/>
        <v>5.7449583937646973E-7</v>
      </c>
      <c r="L361" s="17">
        <f t="shared" si="29"/>
        <v>444.82240879254272</v>
      </c>
    </row>
    <row r="362" spans="1:12" x14ac:dyDescent="0.3">
      <c r="A362" s="9">
        <v>7.9432900000000002</v>
      </c>
      <c r="B362" s="10" t="s">
        <v>19</v>
      </c>
      <c r="C362" s="5">
        <v>60</v>
      </c>
      <c r="D362" s="9">
        <v>448.6</v>
      </c>
      <c r="E362" s="9">
        <v>34.756999999999998</v>
      </c>
      <c r="F362" s="11">
        <v>7.7479999999999993E-2</v>
      </c>
      <c r="G362" s="12">
        <f t="shared" si="25"/>
        <v>0.90000041840998102</v>
      </c>
      <c r="H362" s="1">
        <v>275875.19999999995</v>
      </c>
      <c r="I362" s="2">
        <f t="shared" si="26"/>
        <v>5.4407126610183383</v>
      </c>
      <c r="J362" s="2">
        <f t="shared" si="27"/>
        <v>6.3407130794283191</v>
      </c>
      <c r="K362" s="1">
        <f t="shared" si="28"/>
        <v>4.5633830040360876E-7</v>
      </c>
      <c r="L362" s="17">
        <f t="shared" si="29"/>
        <v>449.94445107035159</v>
      </c>
    </row>
    <row r="363" spans="1:12" x14ac:dyDescent="0.3">
      <c r="A363" s="9">
        <v>10</v>
      </c>
      <c r="B363" s="10" t="s">
        <v>19</v>
      </c>
      <c r="C363" s="5">
        <v>60</v>
      </c>
      <c r="D363" s="9">
        <v>453.82</v>
      </c>
      <c r="E363" s="9">
        <v>34.521000000000001</v>
      </c>
      <c r="F363" s="11">
        <v>7.6069999999999999E-2</v>
      </c>
      <c r="G363" s="12">
        <f t="shared" si="25"/>
        <v>1</v>
      </c>
      <c r="H363" s="1">
        <v>275875.19999999995</v>
      </c>
      <c r="I363" s="2">
        <f t="shared" si="26"/>
        <v>5.4407126610183383</v>
      </c>
      <c r="J363" s="2">
        <f t="shared" si="27"/>
        <v>6.4407126610183383</v>
      </c>
      <c r="K363" s="1">
        <f t="shared" si="28"/>
        <v>3.6248274582129834E-7</v>
      </c>
      <c r="L363" s="17">
        <f t="shared" si="29"/>
        <v>455.13107105645952</v>
      </c>
    </row>
    <row r="364" spans="1:12" x14ac:dyDescent="0.3">
      <c r="A364" s="9">
        <v>12.5893</v>
      </c>
      <c r="B364" s="10" t="s">
        <v>19</v>
      </c>
      <c r="C364" s="5">
        <v>60</v>
      </c>
      <c r="D364" s="9">
        <v>458.91</v>
      </c>
      <c r="E364" s="9">
        <v>34.194000000000003</v>
      </c>
      <c r="F364" s="11">
        <v>7.4510000000000007E-2</v>
      </c>
      <c r="G364" s="12">
        <f t="shared" si="25"/>
        <v>1.1000015828013521</v>
      </c>
      <c r="H364" s="1">
        <v>275875.19999999995</v>
      </c>
      <c r="I364" s="2">
        <f t="shared" si="26"/>
        <v>5.4407126610183383</v>
      </c>
      <c r="J364" s="2">
        <f t="shared" si="27"/>
        <v>6.5407142438196901</v>
      </c>
      <c r="K364" s="1">
        <f t="shared" si="28"/>
        <v>2.8792923023623132E-7</v>
      </c>
      <c r="L364" s="17">
        <f t="shared" si="29"/>
        <v>460.18215712476297</v>
      </c>
    </row>
    <row r="365" spans="1:12" x14ac:dyDescent="0.3">
      <c r="A365" s="9">
        <v>15.8489</v>
      </c>
      <c r="B365" s="10" t="s">
        <v>19</v>
      </c>
      <c r="C365" s="5">
        <v>60</v>
      </c>
      <c r="D365" s="9">
        <v>464</v>
      </c>
      <c r="E365" s="9">
        <v>33.844999999999999</v>
      </c>
      <c r="F365" s="11">
        <v>7.2940000000000005E-2</v>
      </c>
      <c r="G365" s="12">
        <f t="shared" si="25"/>
        <v>1.1999991251967967</v>
      </c>
      <c r="H365" s="1">
        <v>275875.19999999995</v>
      </c>
      <c r="I365" s="2">
        <f t="shared" si="26"/>
        <v>5.4407126610183383</v>
      </c>
      <c r="J365" s="2">
        <f t="shared" si="27"/>
        <v>6.6407117862151352</v>
      </c>
      <c r="K365" s="1">
        <f t="shared" si="28"/>
        <v>2.2871161141864604E-7</v>
      </c>
      <c r="L365" s="17">
        <f t="shared" si="29"/>
        <v>465.23272028631004</v>
      </c>
    </row>
    <row r="366" spans="1:12" x14ac:dyDescent="0.3">
      <c r="A366" s="9">
        <v>19.9526</v>
      </c>
      <c r="B366" s="10" t="s">
        <v>19</v>
      </c>
      <c r="C366" s="5">
        <v>60</v>
      </c>
      <c r="D366" s="9">
        <v>468.95</v>
      </c>
      <c r="E366" s="9">
        <v>33.65</v>
      </c>
      <c r="F366" s="11">
        <v>7.1760000000000004E-2</v>
      </c>
      <c r="G366" s="12">
        <f t="shared" si="25"/>
        <v>1.2999994961169838</v>
      </c>
      <c r="H366" s="1">
        <v>275875.19999999995</v>
      </c>
      <c r="I366" s="2">
        <f t="shared" si="26"/>
        <v>5.4407126610183383</v>
      </c>
      <c r="J366" s="2">
        <f t="shared" si="27"/>
        <v>6.7407121571353219</v>
      </c>
      <c r="K366" s="1">
        <f t="shared" si="28"/>
        <v>1.8167193539754154E-7</v>
      </c>
      <c r="L366" s="17">
        <f t="shared" si="29"/>
        <v>470.15574547164687</v>
      </c>
    </row>
    <row r="367" spans="1:12" x14ac:dyDescent="0.3">
      <c r="A367" s="9">
        <v>25.1189</v>
      </c>
      <c r="B367" s="10" t="s">
        <v>19</v>
      </c>
      <c r="C367" s="5">
        <v>60</v>
      </c>
      <c r="D367" s="9">
        <v>473.85</v>
      </c>
      <c r="E367" s="9">
        <v>33.44</v>
      </c>
      <c r="F367" s="11">
        <v>7.0569999999999994E-2</v>
      </c>
      <c r="G367" s="12">
        <f t="shared" si="25"/>
        <v>1.4000006169763799</v>
      </c>
      <c r="H367" s="1">
        <v>275875.19999999995</v>
      </c>
      <c r="I367" s="2">
        <f t="shared" si="26"/>
        <v>5.4407126610183383</v>
      </c>
      <c r="J367" s="2">
        <f t="shared" si="27"/>
        <v>6.840713277994718</v>
      </c>
      <c r="K367" s="1">
        <f t="shared" si="28"/>
        <v>1.4430677530516803E-7</v>
      </c>
      <c r="L367" s="17">
        <f t="shared" si="29"/>
        <v>475.02847925150763</v>
      </c>
    </row>
    <row r="368" spans="1:12" x14ac:dyDescent="0.3">
      <c r="A368" s="9">
        <v>31.622800000000002</v>
      </c>
      <c r="B368" s="10" t="s">
        <v>19</v>
      </c>
      <c r="C368" s="5">
        <v>60</v>
      </c>
      <c r="D368" s="9">
        <v>478.83</v>
      </c>
      <c r="E368" s="9">
        <v>33.457000000000001</v>
      </c>
      <c r="F368" s="11">
        <v>6.9870000000000002E-2</v>
      </c>
      <c r="G368" s="12">
        <f t="shared" si="25"/>
        <v>1.5000003213429354</v>
      </c>
      <c r="H368" s="1">
        <v>275875.19999999995</v>
      </c>
      <c r="I368" s="2">
        <f t="shared" si="26"/>
        <v>5.4407126610183383</v>
      </c>
      <c r="J368" s="2">
        <f t="shared" si="27"/>
        <v>6.9407129823612737</v>
      </c>
      <c r="K368" s="1">
        <f t="shared" si="28"/>
        <v>1.1462702411592218E-7</v>
      </c>
      <c r="L368" s="17">
        <f t="shared" si="29"/>
        <v>479.99743723170019</v>
      </c>
    </row>
    <row r="369" spans="1:12" x14ac:dyDescent="0.3">
      <c r="A369" s="9">
        <v>39.810699999999997</v>
      </c>
      <c r="B369" s="10" t="s">
        <v>19</v>
      </c>
      <c r="C369" s="5">
        <v>60</v>
      </c>
      <c r="D369" s="9">
        <v>483.47</v>
      </c>
      <c r="E369" s="9">
        <v>33.167000000000002</v>
      </c>
      <c r="F369" s="11">
        <v>6.8599999999999994E-2</v>
      </c>
      <c r="G369" s="12">
        <f t="shared" si="25"/>
        <v>1.5999998139434199</v>
      </c>
      <c r="H369" s="1">
        <v>275875.19999999995</v>
      </c>
      <c r="I369" s="2">
        <f t="shared" si="26"/>
        <v>5.4407126610183383</v>
      </c>
      <c r="J369" s="2">
        <f t="shared" si="27"/>
        <v>7.040712474961758</v>
      </c>
      <c r="K369" s="1">
        <f t="shared" si="28"/>
        <v>9.1051588095988898E-8</v>
      </c>
      <c r="L369" s="17">
        <f t="shared" si="29"/>
        <v>484.60632557675103</v>
      </c>
    </row>
    <row r="370" spans="1:12" x14ac:dyDescent="0.3">
      <c r="A370" s="9">
        <v>50.1188</v>
      </c>
      <c r="B370" s="10" t="s">
        <v>19</v>
      </c>
      <c r="C370" s="5">
        <v>60</v>
      </c>
      <c r="D370" s="9">
        <v>488.16</v>
      </c>
      <c r="E370" s="9">
        <v>33.063000000000002</v>
      </c>
      <c r="F370" s="11">
        <v>6.7729999999999999E-2</v>
      </c>
      <c r="G370" s="12">
        <f t="shared" si="25"/>
        <v>1.7000006640855352</v>
      </c>
      <c r="H370" s="1">
        <v>275875.19999999995</v>
      </c>
      <c r="I370" s="2">
        <f t="shared" si="26"/>
        <v>5.4407126610183383</v>
      </c>
      <c r="J370" s="2">
        <f t="shared" si="27"/>
        <v>7.1407133251038735</v>
      </c>
      <c r="K370" s="1">
        <f t="shared" si="28"/>
        <v>7.2324705663602863E-8</v>
      </c>
      <c r="L370" s="17">
        <f t="shared" si="29"/>
        <v>489.27839474986018</v>
      </c>
    </row>
    <row r="371" spans="1:12" x14ac:dyDescent="0.3">
      <c r="A371" s="9">
        <v>63.095799999999997</v>
      </c>
      <c r="B371" s="10" t="s">
        <v>19</v>
      </c>
      <c r="C371" s="5">
        <v>60</v>
      </c>
      <c r="D371" s="9">
        <v>492.75</v>
      </c>
      <c r="E371" s="9">
        <v>33.000999999999998</v>
      </c>
      <c r="F371" s="11">
        <v>6.6970000000000002E-2</v>
      </c>
      <c r="G371" s="12">
        <f t="shared" si="25"/>
        <v>1.800000451200845</v>
      </c>
      <c r="H371" s="1">
        <v>275875.19999999995</v>
      </c>
      <c r="I371" s="2">
        <f t="shared" si="26"/>
        <v>5.4407126610183383</v>
      </c>
      <c r="J371" s="2">
        <f t="shared" si="27"/>
        <v>7.2407131122191828</v>
      </c>
      <c r="K371" s="1">
        <f t="shared" si="28"/>
        <v>5.7449583937647001E-8</v>
      </c>
      <c r="L371" s="17">
        <f t="shared" si="29"/>
        <v>493.85385338275938</v>
      </c>
    </row>
    <row r="372" spans="1:12" x14ac:dyDescent="0.3">
      <c r="A372" s="9">
        <v>79.432900000000004</v>
      </c>
      <c r="B372" s="10" t="s">
        <v>19</v>
      </c>
      <c r="C372" s="5">
        <v>60</v>
      </c>
      <c r="D372" s="9">
        <v>497.31</v>
      </c>
      <c r="E372" s="9">
        <v>32.840000000000003</v>
      </c>
      <c r="F372" s="11">
        <v>6.6040000000000001E-2</v>
      </c>
      <c r="G372" s="12">
        <f t="shared" si="25"/>
        <v>1.900000418409981</v>
      </c>
      <c r="H372" s="1">
        <v>275875.19999999995</v>
      </c>
      <c r="I372" s="2">
        <f t="shared" si="26"/>
        <v>5.4407126610183383</v>
      </c>
      <c r="J372" s="2">
        <f t="shared" si="27"/>
        <v>7.3407130794283191</v>
      </c>
      <c r="K372" s="1">
        <f t="shared" si="28"/>
        <v>4.563383004036091E-8</v>
      </c>
      <c r="L372" s="17">
        <f t="shared" si="29"/>
        <v>498.39311963549414</v>
      </c>
    </row>
    <row r="373" spans="1:12" x14ac:dyDescent="0.3">
      <c r="A373" s="9">
        <v>100</v>
      </c>
      <c r="B373" s="10" t="s">
        <v>19</v>
      </c>
      <c r="C373" s="5">
        <v>60</v>
      </c>
      <c r="D373" s="9">
        <v>501.8</v>
      </c>
      <c r="E373" s="9">
        <v>32.625999999999998</v>
      </c>
      <c r="F373" s="11">
        <v>6.5019999999999994E-2</v>
      </c>
      <c r="G373" s="12">
        <f t="shared" si="25"/>
        <v>2</v>
      </c>
      <c r="H373" s="1">
        <v>275875.19999999995</v>
      </c>
      <c r="I373" s="2">
        <f t="shared" si="26"/>
        <v>5.4407126610183383</v>
      </c>
      <c r="J373" s="2">
        <f t="shared" si="27"/>
        <v>7.4407126610183383</v>
      </c>
      <c r="K373" s="1">
        <f t="shared" si="28"/>
        <v>3.6248274582129795E-8</v>
      </c>
      <c r="L373" s="17">
        <f t="shared" si="29"/>
        <v>502.85951902693461</v>
      </c>
    </row>
    <row r="374" spans="1:12" x14ac:dyDescent="0.3">
      <c r="A374" s="4">
        <v>0.1</v>
      </c>
      <c r="B374" s="5" t="s">
        <v>20</v>
      </c>
      <c r="C374" s="5">
        <v>70</v>
      </c>
      <c r="D374" s="4">
        <v>236.91</v>
      </c>
      <c r="E374" s="4">
        <v>53.536000000000001</v>
      </c>
      <c r="F374" s="6">
        <v>0.22597</v>
      </c>
      <c r="G374" s="7">
        <f t="shared" si="25"/>
        <v>-1</v>
      </c>
      <c r="H374" s="1">
        <v>26784</v>
      </c>
      <c r="I374" s="2">
        <f t="shared" si="26"/>
        <v>4.4278754363131663</v>
      </c>
      <c r="J374" s="2">
        <f t="shared" si="27"/>
        <v>3.4278754363131663</v>
      </c>
      <c r="K374" s="1">
        <f t="shared" si="28"/>
        <v>3.733572281959374E-4</v>
      </c>
      <c r="L374" s="17">
        <f t="shared" si="29"/>
        <v>242.88361697734987</v>
      </c>
    </row>
    <row r="375" spans="1:12" x14ac:dyDescent="0.3">
      <c r="A375" s="4">
        <v>0.12589</v>
      </c>
      <c r="B375" s="5" t="s">
        <v>20</v>
      </c>
      <c r="C375" s="5">
        <v>70</v>
      </c>
      <c r="D375" s="4">
        <v>248.86</v>
      </c>
      <c r="E375" s="4">
        <v>50.587000000000003</v>
      </c>
      <c r="F375" s="6">
        <v>0.20327999999999999</v>
      </c>
      <c r="G375" s="7">
        <f t="shared" si="25"/>
        <v>-0.90000876645531558</v>
      </c>
      <c r="H375" s="1">
        <v>26784</v>
      </c>
      <c r="I375" s="2">
        <f t="shared" si="26"/>
        <v>4.4278754363131663</v>
      </c>
      <c r="J375" s="2">
        <f t="shared" si="27"/>
        <v>3.5278666698578505</v>
      </c>
      <c r="K375" s="1">
        <f t="shared" si="28"/>
        <v>2.9657417443477437E-4</v>
      </c>
      <c r="L375" s="17">
        <f t="shared" si="29"/>
        <v>253.94949137377694</v>
      </c>
    </row>
    <row r="376" spans="1:12" x14ac:dyDescent="0.3">
      <c r="A376" s="4">
        <v>0.15848999999999999</v>
      </c>
      <c r="B376" s="5" t="s">
        <v>20</v>
      </c>
      <c r="C376" s="5">
        <v>70</v>
      </c>
      <c r="D376" s="4">
        <v>259.51</v>
      </c>
      <c r="E376" s="4">
        <v>48.777999999999999</v>
      </c>
      <c r="F376" s="6">
        <v>0.18795999999999999</v>
      </c>
      <c r="G376" s="7">
        <f t="shared" si="25"/>
        <v>-0.79999813459339819</v>
      </c>
      <c r="H376" s="1">
        <v>26784</v>
      </c>
      <c r="I376" s="2">
        <f t="shared" si="26"/>
        <v>4.4278754363131663</v>
      </c>
      <c r="J376" s="2">
        <f t="shared" si="27"/>
        <v>3.6278773017197681</v>
      </c>
      <c r="K376" s="1">
        <f t="shared" si="28"/>
        <v>2.3557147340269875E-4</v>
      </c>
      <c r="L376" s="17">
        <f t="shared" si="29"/>
        <v>264.05441368021098</v>
      </c>
    </row>
    <row r="377" spans="1:12" x14ac:dyDescent="0.3">
      <c r="A377" s="4">
        <v>0.19953000000000001</v>
      </c>
      <c r="B377" s="5" t="s">
        <v>20</v>
      </c>
      <c r="C377" s="5">
        <v>70</v>
      </c>
      <c r="D377" s="4">
        <v>269.23</v>
      </c>
      <c r="E377" s="4">
        <v>47.22</v>
      </c>
      <c r="F377" s="6">
        <v>0.17538999999999999</v>
      </c>
      <c r="G377" s="7">
        <f t="shared" si="25"/>
        <v>-0.69999179744618689</v>
      </c>
      <c r="H377" s="1">
        <v>26784</v>
      </c>
      <c r="I377" s="2">
        <f t="shared" si="26"/>
        <v>4.4278754363131663</v>
      </c>
      <c r="J377" s="2">
        <f t="shared" si="27"/>
        <v>3.7278836388669792</v>
      </c>
      <c r="K377" s="1">
        <f t="shared" si="28"/>
        <v>1.871183422021438E-4</v>
      </c>
      <c r="L377" s="17">
        <f t="shared" si="29"/>
        <v>273.33957141255638</v>
      </c>
    </row>
    <row r="378" spans="1:12" x14ac:dyDescent="0.3">
      <c r="A378" s="4">
        <v>0.25119000000000002</v>
      </c>
      <c r="B378" s="5" t="s">
        <v>20</v>
      </c>
      <c r="C378" s="5">
        <v>70</v>
      </c>
      <c r="D378" s="4">
        <v>277.77999999999997</v>
      </c>
      <c r="E378" s="4">
        <v>45.94</v>
      </c>
      <c r="F378" s="6">
        <v>0.16538</v>
      </c>
      <c r="G378" s="7">
        <f t="shared" si="25"/>
        <v>-0.59999765407204408</v>
      </c>
      <c r="H378" s="1">
        <v>26784</v>
      </c>
      <c r="I378" s="2">
        <f t="shared" si="26"/>
        <v>4.4278754363131663</v>
      </c>
      <c r="J378" s="2">
        <f t="shared" si="27"/>
        <v>3.8278777822411221</v>
      </c>
      <c r="K378" s="1">
        <f t="shared" si="28"/>
        <v>1.4863538683703071E-4</v>
      </c>
      <c r="L378" s="17">
        <f t="shared" si="29"/>
        <v>281.55321344285875</v>
      </c>
    </row>
    <row r="379" spans="1:12" x14ac:dyDescent="0.3">
      <c r="A379" s="4">
        <v>0.31623000000000001</v>
      </c>
      <c r="B379" s="5" t="s">
        <v>20</v>
      </c>
      <c r="C379" s="5">
        <v>70</v>
      </c>
      <c r="D379" s="4">
        <v>285.68</v>
      </c>
      <c r="E379" s="4">
        <v>44.896999999999998</v>
      </c>
      <c r="F379" s="6">
        <v>0.15715999999999999</v>
      </c>
      <c r="G379" s="7">
        <f t="shared" si="25"/>
        <v>-0.4999969319483068</v>
      </c>
      <c r="H379" s="1">
        <v>26784</v>
      </c>
      <c r="I379" s="2">
        <f t="shared" si="26"/>
        <v>4.4278754363131663</v>
      </c>
      <c r="J379" s="2">
        <f t="shared" si="27"/>
        <v>3.9278785043648594</v>
      </c>
      <c r="K379" s="1">
        <f t="shared" si="28"/>
        <v>1.1806508813077114E-4</v>
      </c>
      <c r="L379" s="17">
        <f t="shared" si="29"/>
        <v>289.18645025139062</v>
      </c>
    </row>
    <row r="380" spans="1:12" x14ac:dyDescent="0.3">
      <c r="A380" s="4">
        <v>0.39811000000000002</v>
      </c>
      <c r="B380" s="5" t="s">
        <v>20</v>
      </c>
      <c r="C380" s="5">
        <v>70</v>
      </c>
      <c r="D380" s="4">
        <v>292.95</v>
      </c>
      <c r="E380" s="4">
        <v>44.057000000000002</v>
      </c>
      <c r="F380" s="6">
        <v>0.15039</v>
      </c>
      <c r="G380" s="7">
        <f t="shared" si="25"/>
        <v>-0.39999691337225962</v>
      </c>
      <c r="H380" s="1">
        <v>26784</v>
      </c>
      <c r="I380" s="2">
        <f t="shared" si="26"/>
        <v>4.4278754363131663</v>
      </c>
      <c r="J380" s="2">
        <f t="shared" si="27"/>
        <v>4.0278785229409069</v>
      </c>
      <c r="K380" s="1">
        <f t="shared" si="28"/>
        <v>9.3782429026132699E-5</v>
      </c>
      <c r="L380" s="17">
        <f t="shared" si="29"/>
        <v>296.24436154803016</v>
      </c>
    </row>
    <row r="381" spans="1:12" x14ac:dyDescent="0.3">
      <c r="A381" s="4">
        <v>0.50119000000000002</v>
      </c>
      <c r="B381" s="5" t="s">
        <v>20</v>
      </c>
      <c r="C381" s="5">
        <v>70</v>
      </c>
      <c r="D381" s="4">
        <v>300.45</v>
      </c>
      <c r="E381" s="4">
        <v>43.353000000000002</v>
      </c>
      <c r="F381" s="6">
        <v>0.14429</v>
      </c>
      <c r="G381" s="7">
        <f t="shared" si="25"/>
        <v>-0.29999760285774607</v>
      </c>
      <c r="H381" s="1">
        <v>26784</v>
      </c>
      <c r="I381" s="2">
        <f t="shared" si="26"/>
        <v>4.4278754363131663</v>
      </c>
      <c r="J381" s="2">
        <f t="shared" si="27"/>
        <v>4.12787783345542</v>
      </c>
      <c r="K381" s="1">
        <f t="shared" si="28"/>
        <v>7.4494149563227006E-5</v>
      </c>
      <c r="L381" s="17">
        <f t="shared" si="29"/>
        <v>303.56166607297439</v>
      </c>
    </row>
    <row r="382" spans="1:12" x14ac:dyDescent="0.3">
      <c r="A382" s="4">
        <v>0.63095999999999997</v>
      </c>
      <c r="B382" s="5" t="s">
        <v>20</v>
      </c>
      <c r="C382" s="5">
        <v>70</v>
      </c>
      <c r="D382" s="4">
        <v>307.39999999999998</v>
      </c>
      <c r="E382" s="4">
        <v>42.582999999999998</v>
      </c>
      <c r="F382" s="6">
        <v>0.13852999999999999</v>
      </c>
      <c r="G382" s="7">
        <f t="shared" si="25"/>
        <v>-0.19999817218203128</v>
      </c>
      <c r="H382" s="1">
        <v>26784</v>
      </c>
      <c r="I382" s="2">
        <f t="shared" si="26"/>
        <v>4.4278754363131663</v>
      </c>
      <c r="J382" s="2">
        <f t="shared" si="27"/>
        <v>4.2278772641311351</v>
      </c>
      <c r="K382" s="1">
        <f t="shared" si="28"/>
        <v>5.917288389056951E-5</v>
      </c>
      <c r="L382" s="17">
        <f t="shared" si="29"/>
        <v>310.3354183605216</v>
      </c>
    </row>
    <row r="383" spans="1:12" x14ac:dyDescent="0.3">
      <c r="A383" s="4">
        <v>0.79432999999999998</v>
      </c>
      <c r="B383" s="5" t="s">
        <v>20</v>
      </c>
      <c r="C383" s="5">
        <v>70</v>
      </c>
      <c r="D383" s="4">
        <v>314.16000000000003</v>
      </c>
      <c r="E383" s="4">
        <v>41.78</v>
      </c>
      <c r="F383" s="6">
        <v>0.13299</v>
      </c>
      <c r="G383" s="7">
        <f t="shared" si="25"/>
        <v>-9.9999034846530471E-2</v>
      </c>
      <c r="H383" s="1">
        <v>26784</v>
      </c>
      <c r="I383" s="2">
        <f t="shared" si="26"/>
        <v>4.4278754363131663</v>
      </c>
      <c r="J383" s="2">
        <f t="shared" si="27"/>
        <v>4.3278764014666358</v>
      </c>
      <c r="K383" s="1">
        <f t="shared" si="28"/>
        <v>4.7002785768627297E-5</v>
      </c>
      <c r="L383" s="17">
        <f t="shared" si="29"/>
        <v>316.92597558420488</v>
      </c>
    </row>
    <row r="384" spans="1:12" x14ac:dyDescent="0.3">
      <c r="A384" s="4">
        <v>1</v>
      </c>
      <c r="B384" s="5" t="s">
        <v>20</v>
      </c>
      <c r="C384" s="5">
        <v>70</v>
      </c>
      <c r="D384" s="4">
        <v>320.82</v>
      </c>
      <c r="E384" s="4">
        <v>41.366</v>
      </c>
      <c r="F384" s="6">
        <v>0.12894</v>
      </c>
      <c r="G384" s="7">
        <f t="shared" si="25"/>
        <v>0</v>
      </c>
      <c r="H384" s="1">
        <v>26784</v>
      </c>
      <c r="I384" s="2">
        <f t="shared" si="26"/>
        <v>4.4278754363131663</v>
      </c>
      <c r="J384" s="2">
        <f t="shared" si="27"/>
        <v>4.4278754363131663</v>
      </c>
      <c r="K384" s="1">
        <f t="shared" si="28"/>
        <v>3.7335722819593738E-5</v>
      </c>
      <c r="L384" s="17">
        <f t="shared" si="29"/>
        <v>323.47583890609201</v>
      </c>
    </row>
    <row r="385" spans="1:12" x14ac:dyDescent="0.3">
      <c r="A385" s="4">
        <v>1.2589300000000001</v>
      </c>
      <c r="B385" s="5" t="s">
        <v>20</v>
      </c>
      <c r="C385" s="5">
        <v>70</v>
      </c>
      <c r="D385" s="4">
        <v>327.04000000000002</v>
      </c>
      <c r="E385" s="4">
        <v>40.865000000000002</v>
      </c>
      <c r="F385" s="6">
        <v>0.12496</v>
      </c>
      <c r="G385" s="7">
        <f t="shared" si="25"/>
        <v>0.10000158280135207</v>
      </c>
      <c r="H385" s="1">
        <v>26784</v>
      </c>
      <c r="I385" s="2">
        <f t="shared" si="26"/>
        <v>4.4278754363131663</v>
      </c>
      <c r="J385" s="2">
        <f t="shared" si="27"/>
        <v>4.5278770191145181</v>
      </c>
      <c r="K385" s="1">
        <f t="shared" si="28"/>
        <v>2.965671071433183E-5</v>
      </c>
      <c r="L385" s="17">
        <f t="shared" si="29"/>
        <v>329.58323656551465</v>
      </c>
    </row>
    <row r="386" spans="1:12" x14ac:dyDescent="0.3">
      <c r="A386" s="4">
        <v>1.5848899999999999</v>
      </c>
      <c r="B386" s="5" t="s">
        <v>20</v>
      </c>
      <c r="C386" s="5">
        <v>70</v>
      </c>
      <c r="D386" s="4">
        <v>333.29</v>
      </c>
      <c r="E386" s="4">
        <v>40.369999999999997</v>
      </c>
      <c r="F386" s="6">
        <v>0.12113</v>
      </c>
      <c r="G386" s="7">
        <f t="shared" si="25"/>
        <v>0.19999912519679666</v>
      </c>
      <c r="H386" s="1">
        <v>26784</v>
      </c>
      <c r="I386" s="2">
        <f t="shared" si="26"/>
        <v>4.4278754363131663</v>
      </c>
      <c r="J386" s="2">
        <f t="shared" si="27"/>
        <v>4.6278745615099632</v>
      </c>
      <c r="K386" s="1">
        <f t="shared" si="28"/>
        <v>2.3557295976120543E-5</v>
      </c>
      <c r="L386" s="17">
        <f t="shared" si="29"/>
        <v>335.72602073714813</v>
      </c>
    </row>
    <row r="387" spans="1:12" x14ac:dyDescent="0.3">
      <c r="A387" s="4">
        <v>1.99526</v>
      </c>
      <c r="B387" s="5" t="s">
        <v>20</v>
      </c>
      <c r="C387" s="5">
        <v>70</v>
      </c>
      <c r="D387" s="4">
        <v>339.39</v>
      </c>
      <c r="E387" s="4">
        <v>39.881</v>
      </c>
      <c r="F387" s="6">
        <v>0.11751</v>
      </c>
      <c r="G387" s="7">
        <f t="shared" ref="G387:G450" si="30">LOG(A387)</f>
        <v>0.29999949611698379</v>
      </c>
      <c r="H387" s="1">
        <v>26784</v>
      </c>
      <c r="I387" s="2">
        <f t="shared" ref="I387:I450" si="31">LOG(H387)</f>
        <v>4.4278754363131663</v>
      </c>
      <c r="J387" s="2">
        <f t="shared" ref="J387:J450" si="32">G387+I387</f>
        <v>4.7278749324301499</v>
      </c>
      <c r="K387" s="1">
        <f t="shared" ref="K387:K450" si="33">1/10^J387</f>
        <v>1.8712209345946746E-5</v>
      </c>
      <c r="L387" s="17">
        <f t="shared" ref="L387:L450" si="34">SQRT(D387^2+E387^2)</f>
        <v>341.72513261538137</v>
      </c>
    </row>
    <row r="388" spans="1:12" x14ac:dyDescent="0.3">
      <c r="A388" s="4">
        <v>2.5118900000000002</v>
      </c>
      <c r="B388" s="5" t="s">
        <v>20</v>
      </c>
      <c r="C388" s="5">
        <v>70</v>
      </c>
      <c r="D388" s="4">
        <v>345.2</v>
      </c>
      <c r="E388" s="4">
        <v>39.225000000000001</v>
      </c>
      <c r="F388" s="6">
        <v>0.11362999999999999</v>
      </c>
      <c r="G388" s="7">
        <f t="shared" si="30"/>
        <v>0.40000061697637995</v>
      </c>
      <c r="H388" s="1">
        <v>26784</v>
      </c>
      <c r="I388" s="2">
        <f t="shared" si="31"/>
        <v>4.4278754363131663</v>
      </c>
      <c r="J388" s="2">
        <f t="shared" si="32"/>
        <v>4.8278760532895459</v>
      </c>
      <c r="K388" s="1">
        <f t="shared" si="33"/>
        <v>1.4863597856432309E-5</v>
      </c>
      <c r="L388" s="17">
        <f t="shared" si="34"/>
        <v>347.42141647428701</v>
      </c>
    </row>
    <row r="389" spans="1:12" x14ac:dyDescent="0.3">
      <c r="A389" s="4">
        <v>3.16228</v>
      </c>
      <c r="B389" s="5" t="s">
        <v>20</v>
      </c>
      <c r="C389" s="5">
        <v>70</v>
      </c>
      <c r="D389" s="4">
        <v>350.96</v>
      </c>
      <c r="E389" s="4">
        <v>38.914999999999999</v>
      </c>
      <c r="F389" s="6">
        <v>0.11088000000000001</v>
      </c>
      <c r="G389" s="7">
        <f t="shared" si="30"/>
        <v>0.50000032134293526</v>
      </c>
      <c r="H389" s="1">
        <v>26784</v>
      </c>
      <c r="I389" s="2">
        <f t="shared" si="31"/>
        <v>4.4278754363131663</v>
      </c>
      <c r="J389" s="2">
        <f t="shared" si="32"/>
        <v>4.9278757576561016</v>
      </c>
      <c r="K389" s="1">
        <f t="shared" si="33"/>
        <v>1.1806583483939986E-5</v>
      </c>
      <c r="L389" s="17">
        <f t="shared" si="34"/>
        <v>353.11088743481133</v>
      </c>
    </row>
    <row r="390" spans="1:12" x14ac:dyDescent="0.3">
      <c r="A390" s="4">
        <v>3.9810699999999999</v>
      </c>
      <c r="B390" s="5" t="s">
        <v>20</v>
      </c>
      <c r="C390" s="5">
        <v>70</v>
      </c>
      <c r="D390" s="4">
        <v>356.77</v>
      </c>
      <c r="E390" s="4">
        <v>38.564999999999998</v>
      </c>
      <c r="F390" s="6">
        <v>0.10809000000000001</v>
      </c>
      <c r="G390" s="7">
        <f t="shared" si="30"/>
        <v>0.59999981394342006</v>
      </c>
      <c r="H390" s="1">
        <v>26784</v>
      </c>
      <c r="I390" s="2">
        <f t="shared" si="31"/>
        <v>4.4278754363131663</v>
      </c>
      <c r="J390" s="2">
        <f t="shared" si="32"/>
        <v>5.027875250256586</v>
      </c>
      <c r="K390" s="1">
        <f t="shared" si="33"/>
        <v>9.3783135738868584E-6</v>
      </c>
      <c r="L390" s="17">
        <f t="shared" si="34"/>
        <v>358.84828566540483</v>
      </c>
    </row>
    <row r="391" spans="1:12" x14ac:dyDescent="0.3">
      <c r="A391" s="4">
        <v>5.01187</v>
      </c>
      <c r="B391" s="5" t="s">
        <v>20</v>
      </c>
      <c r="C391" s="5">
        <v>70</v>
      </c>
      <c r="D391" s="4">
        <v>362.46</v>
      </c>
      <c r="E391" s="4">
        <v>38.131</v>
      </c>
      <c r="F391" s="6">
        <v>0.1052</v>
      </c>
      <c r="G391" s="7">
        <f t="shared" si="30"/>
        <v>0.69999979755458241</v>
      </c>
      <c r="H391" s="1">
        <v>26784</v>
      </c>
      <c r="I391" s="2">
        <f t="shared" si="31"/>
        <v>4.4278754363131663</v>
      </c>
      <c r="J391" s="2">
        <f t="shared" si="32"/>
        <v>5.1278752338677487</v>
      </c>
      <c r="K391" s="1">
        <f t="shared" si="33"/>
        <v>7.4494595469542783E-6</v>
      </c>
      <c r="L391" s="17">
        <f t="shared" si="34"/>
        <v>364.46018268255312</v>
      </c>
    </row>
    <row r="392" spans="1:12" x14ac:dyDescent="0.3">
      <c r="A392" s="4">
        <v>6.3095800000000004</v>
      </c>
      <c r="B392" s="5" t="s">
        <v>20</v>
      </c>
      <c r="C392" s="5">
        <v>70</v>
      </c>
      <c r="D392" s="4">
        <v>371</v>
      </c>
      <c r="E392" s="4">
        <v>38.213000000000001</v>
      </c>
      <c r="F392" s="6">
        <v>0.10299999999999999</v>
      </c>
      <c r="G392" s="7">
        <f t="shared" si="30"/>
        <v>0.80000045120084495</v>
      </c>
      <c r="H392" s="1">
        <v>26784</v>
      </c>
      <c r="I392" s="2">
        <f t="shared" si="31"/>
        <v>4.4278754363131663</v>
      </c>
      <c r="J392" s="2">
        <f t="shared" si="32"/>
        <v>5.2278758875140117</v>
      </c>
      <c r="K392" s="1">
        <f t="shared" si="33"/>
        <v>5.9173071455776316E-6</v>
      </c>
      <c r="L392" s="17">
        <f t="shared" si="34"/>
        <v>372.96277745775114</v>
      </c>
    </row>
    <row r="393" spans="1:12" x14ac:dyDescent="0.3">
      <c r="A393" s="4">
        <v>7.9432900000000002</v>
      </c>
      <c r="B393" s="5" t="s">
        <v>20</v>
      </c>
      <c r="C393" s="5">
        <v>70</v>
      </c>
      <c r="D393" s="4">
        <v>373.73</v>
      </c>
      <c r="E393" s="4">
        <v>37.469000000000001</v>
      </c>
      <c r="F393" s="6">
        <v>0.10026</v>
      </c>
      <c r="G393" s="7">
        <f t="shared" si="30"/>
        <v>0.90000041840998102</v>
      </c>
      <c r="H393" s="1">
        <v>26784</v>
      </c>
      <c r="I393" s="2">
        <f t="shared" si="31"/>
        <v>4.4278754363131663</v>
      </c>
      <c r="J393" s="2">
        <f t="shared" si="32"/>
        <v>5.3278758547231471</v>
      </c>
      <c r="K393" s="1">
        <f t="shared" si="33"/>
        <v>4.7002844941571742E-6</v>
      </c>
      <c r="L393" s="17">
        <f t="shared" si="34"/>
        <v>375.6035660919635</v>
      </c>
    </row>
    <row r="394" spans="1:12" x14ac:dyDescent="0.3">
      <c r="A394" s="4">
        <v>10</v>
      </c>
      <c r="B394" s="5" t="s">
        <v>20</v>
      </c>
      <c r="C394" s="5">
        <v>70</v>
      </c>
      <c r="D394" s="4">
        <v>379.25</v>
      </c>
      <c r="E394" s="4">
        <v>37.189</v>
      </c>
      <c r="F394" s="6">
        <v>9.8059999999999994E-2</v>
      </c>
      <c r="G394" s="7">
        <f t="shared" si="30"/>
        <v>1</v>
      </c>
      <c r="H394" s="1">
        <v>26784</v>
      </c>
      <c r="I394" s="2">
        <f t="shared" si="31"/>
        <v>4.4278754363131663</v>
      </c>
      <c r="J394" s="2">
        <f t="shared" si="32"/>
        <v>5.4278754363131663</v>
      </c>
      <c r="K394" s="1">
        <f t="shared" si="33"/>
        <v>3.7335722819593688E-6</v>
      </c>
      <c r="L394" s="17">
        <f t="shared" si="34"/>
        <v>381.06900191566353</v>
      </c>
    </row>
    <row r="395" spans="1:12" x14ac:dyDescent="0.3">
      <c r="A395" s="4">
        <v>12.5893</v>
      </c>
      <c r="B395" s="5" t="s">
        <v>20</v>
      </c>
      <c r="C395" s="5">
        <v>70</v>
      </c>
      <c r="D395" s="4">
        <v>384.8</v>
      </c>
      <c r="E395" s="4">
        <v>36.953000000000003</v>
      </c>
      <c r="F395" s="6">
        <v>9.6030000000000004E-2</v>
      </c>
      <c r="G395" s="7">
        <f t="shared" si="30"/>
        <v>1.1000015828013521</v>
      </c>
      <c r="H395" s="1">
        <v>26784</v>
      </c>
      <c r="I395" s="2">
        <f t="shared" si="31"/>
        <v>4.4278754363131663</v>
      </c>
      <c r="J395" s="2">
        <f t="shared" si="32"/>
        <v>5.5278770191145181</v>
      </c>
      <c r="K395" s="1">
        <f t="shared" si="33"/>
        <v>2.9656710714331799E-6</v>
      </c>
      <c r="L395" s="17">
        <f t="shared" si="34"/>
        <v>386.57025779151712</v>
      </c>
    </row>
    <row r="396" spans="1:12" x14ac:dyDescent="0.3">
      <c r="A396" s="4">
        <v>15.8489</v>
      </c>
      <c r="B396" s="5" t="s">
        <v>20</v>
      </c>
      <c r="C396" s="5">
        <v>70</v>
      </c>
      <c r="D396" s="4">
        <v>390.32</v>
      </c>
      <c r="E396" s="4">
        <v>36.610999999999997</v>
      </c>
      <c r="F396" s="6">
        <v>9.3799999999999994E-2</v>
      </c>
      <c r="G396" s="7">
        <f t="shared" si="30"/>
        <v>1.1999991251967967</v>
      </c>
      <c r="H396" s="1">
        <v>26784</v>
      </c>
      <c r="I396" s="2">
        <f t="shared" si="31"/>
        <v>4.4278754363131663</v>
      </c>
      <c r="J396" s="2">
        <f t="shared" si="32"/>
        <v>5.6278745615099632</v>
      </c>
      <c r="K396" s="1">
        <f t="shared" si="33"/>
        <v>2.3557295976120561E-6</v>
      </c>
      <c r="L396" s="17">
        <f t="shared" si="34"/>
        <v>392.03324823412618</v>
      </c>
    </row>
    <row r="397" spans="1:12" x14ac:dyDescent="0.3">
      <c r="A397" s="4">
        <v>19.9526</v>
      </c>
      <c r="B397" s="5" t="s">
        <v>20</v>
      </c>
      <c r="C397" s="5">
        <v>70</v>
      </c>
      <c r="D397" s="4">
        <v>395.76</v>
      </c>
      <c r="E397" s="4">
        <v>36.417000000000002</v>
      </c>
      <c r="F397" s="6">
        <v>9.2020000000000005E-2</v>
      </c>
      <c r="G397" s="7">
        <f t="shared" si="30"/>
        <v>1.2999994961169838</v>
      </c>
      <c r="H397" s="1">
        <v>26784</v>
      </c>
      <c r="I397" s="2">
        <f t="shared" si="31"/>
        <v>4.4278754363131663</v>
      </c>
      <c r="J397" s="2">
        <f t="shared" si="32"/>
        <v>5.7278749324301499</v>
      </c>
      <c r="K397" s="1">
        <f t="shared" si="33"/>
        <v>1.8712209345946759E-6</v>
      </c>
      <c r="L397" s="17">
        <f t="shared" si="34"/>
        <v>397.43197592669867</v>
      </c>
    </row>
    <row r="398" spans="1:12" x14ac:dyDescent="0.3">
      <c r="A398" s="4">
        <v>25.1189</v>
      </c>
      <c r="B398" s="5" t="s">
        <v>20</v>
      </c>
      <c r="C398" s="5">
        <v>70</v>
      </c>
      <c r="D398" s="4">
        <v>401.22</v>
      </c>
      <c r="E398" s="4">
        <v>36.231000000000002</v>
      </c>
      <c r="F398" s="6">
        <v>9.0300000000000005E-2</v>
      </c>
      <c r="G398" s="7">
        <f t="shared" si="30"/>
        <v>1.4000006169763799</v>
      </c>
      <c r="H398" s="1">
        <v>26784</v>
      </c>
      <c r="I398" s="2">
        <f t="shared" si="31"/>
        <v>4.4278754363131663</v>
      </c>
      <c r="J398" s="2">
        <f t="shared" si="32"/>
        <v>5.8278760532895459</v>
      </c>
      <c r="K398" s="1">
        <f t="shared" si="33"/>
        <v>1.4863597856432292E-6</v>
      </c>
      <c r="L398" s="17">
        <f t="shared" si="34"/>
        <v>402.85254592840795</v>
      </c>
    </row>
    <row r="399" spans="1:12" x14ac:dyDescent="0.3">
      <c r="A399" s="4">
        <v>31.622800000000002</v>
      </c>
      <c r="B399" s="5" t="s">
        <v>20</v>
      </c>
      <c r="C399" s="5">
        <v>70</v>
      </c>
      <c r="D399" s="4">
        <v>406.21</v>
      </c>
      <c r="E399" s="4">
        <v>36.008000000000003</v>
      </c>
      <c r="F399" s="6">
        <v>8.8650000000000007E-2</v>
      </c>
      <c r="G399" s="7">
        <f t="shared" si="30"/>
        <v>1.5000003213429354</v>
      </c>
      <c r="H399" s="1">
        <v>26784</v>
      </c>
      <c r="I399" s="2">
        <f t="shared" si="31"/>
        <v>4.4278754363131663</v>
      </c>
      <c r="J399" s="2">
        <f t="shared" si="32"/>
        <v>5.9278757576561016</v>
      </c>
      <c r="K399" s="1">
        <f t="shared" si="33"/>
        <v>1.1806583483939972E-6</v>
      </c>
      <c r="L399" s="17">
        <f t="shared" si="34"/>
        <v>407.80282020113589</v>
      </c>
    </row>
    <row r="400" spans="1:12" x14ac:dyDescent="0.3">
      <c r="A400" s="4">
        <v>39.810699999999997</v>
      </c>
      <c r="B400" s="5" t="s">
        <v>20</v>
      </c>
      <c r="C400" s="5">
        <v>70</v>
      </c>
      <c r="D400" s="4">
        <v>411.57</v>
      </c>
      <c r="E400" s="4">
        <v>35.896000000000001</v>
      </c>
      <c r="F400" s="6">
        <v>8.7220000000000006E-2</v>
      </c>
      <c r="G400" s="7">
        <f t="shared" si="30"/>
        <v>1.5999998139434199</v>
      </c>
      <c r="H400" s="1">
        <v>26784</v>
      </c>
      <c r="I400" s="2">
        <f t="shared" si="31"/>
        <v>4.4278754363131663</v>
      </c>
      <c r="J400" s="2">
        <f t="shared" si="32"/>
        <v>6.027875250256586</v>
      </c>
      <c r="K400" s="1">
        <f t="shared" si="33"/>
        <v>9.3783135738868486E-7</v>
      </c>
      <c r="L400" s="17">
        <f t="shared" si="34"/>
        <v>413.13240942341957</v>
      </c>
    </row>
    <row r="401" spans="1:12" x14ac:dyDescent="0.3">
      <c r="A401" s="4">
        <v>50.1188</v>
      </c>
      <c r="B401" s="5" t="s">
        <v>20</v>
      </c>
      <c r="C401" s="5">
        <v>70</v>
      </c>
      <c r="D401" s="4">
        <v>416.82</v>
      </c>
      <c r="E401" s="4">
        <v>35.771999999999998</v>
      </c>
      <c r="F401" s="6">
        <v>8.5819999999999994E-2</v>
      </c>
      <c r="G401" s="7">
        <f t="shared" si="30"/>
        <v>1.7000006640855352</v>
      </c>
      <c r="H401" s="1">
        <v>26784</v>
      </c>
      <c r="I401" s="2">
        <f t="shared" si="31"/>
        <v>4.4278754363131663</v>
      </c>
      <c r="J401" s="2">
        <f t="shared" si="32"/>
        <v>6.1278761003987015</v>
      </c>
      <c r="K401" s="1">
        <f t="shared" si="33"/>
        <v>7.4494446833511006E-7</v>
      </c>
      <c r="L401" s="17">
        <f t="shared" si="34"/>
        <v>418.3521822388405</v>
      </c>
    </row>
    <row r="402" spans="1:12" x14ac:dyDescent="0.3">
      <c r="A402" s="4">
        <v>63.095799999999997</v>
      </c>
      <c r="B402" s="5" t="s">
        <v>20</v>
      </c>
      <c r="C402" s="5">
        <v>70</v>
      </c>
      <c r="D402" s="4">
        <v>421.9</v>
      </c>
      <c r="E402" s="4">
        <v>35.628</v>
      </c>
      <c r="F402" s="6">
        <v>8.4449999999999997E-2</v>
      </c>
      <c r="G402" s="7">
        <f t="shared" si="30"/>
        <v>1.800000451200845</v>
      </c>
      <c r="H402" s="1">
        <v>26784</v>
      </c>
      <c r="I402" s="2">
        <f t="shared" si="31"/>
        <v>4.4278754363131663</v>
      </c>
      <c r="J402" s="2">
        <f t="shared" si="32"/>
        <v>6.2278758875140117</v>
      </c>
      <c r="K402" s="1">
        <f t="shared" si="33"/>
        <v>5.9173071455776253E-7</v>
      </c>
      <c r="L402" s="17">
        <f t="shared" si="34"/>
        <v>423.40165845683691</v>
      </c>
    </row>
    <row r="403" spans="1:12" x14ac:dyDescent="0.3">
      <c r="A403" s="4">
        <v>79.432900000000004</v>
      </c>
      <c r="B403" s="5" t="s">
        <v>20</v>
      </c>
      <c r="C403" s="5">
        <v>70</v>
      </c>
      <c r="D403" s="4">
        <v>427.09</v>
      </c>
      <c r="E403" s="4">
        <v>35.475000000000001</v>
      </c>
      <c r="F403" s="6">
        <v>8.3059999999999995E-2</v>
      </c>
      <c r="G403" s="7">
        <f t="shared" si="30"/>
        <v>1.900000418409981</v>
      </c>
      <c r="H403" s="1">
        <v>26784</v>
      </c>
      <c r="I403" s="2">
        <f t="shared" si="31"/>
        <v>4.4278754363131663</v>
      </c>
      <c r="J403" s="2">
        <f t="shared" si="32"/>
        <v>6.3278758547231471</v>
      </c>
      <c r="K403" s="1">
        <f t="shared" si="33"/>
        <v>4.7002844941571691E-7</v>
      </c>
      <c r="L403" s="17">
        <f t="shared" si="34"/>
        <v>428.56078183263571</v>
      </c>
    </row>
    <row r="404" spans="1:12" x14ac:dyDescent="0.3">
      <c r="A404" s="4">
        <v>100</v>
      </c>
      <c r="B404" s="5" t="s">
        <v>20</v>
      </c>
      <c r="C404" s="5">
        <v>70</v>
      </c>
      <c r="D404" s="4">
        <v>431.92</v>
      </c>
      <c r="E404" s="4">
        <v>35.186</v>
      </c>
      <c r="F404" s="6">
        <v>8.1460000000000005E-2</v>
      </c>
      <c r="G404" s="7">
        <f t="shared" si="30"/>
        <v>2</v>
      </c>
      <c r="H404" s="1">
        <v>26784</v>
      </c>
      <c r="I404" s="2">
        <f t="shared" si="31"/>
        <v>4.4278754363131663</v>
      </c>
      <c r="J404" s="2">
        <f t="shared" si="32"/>
        <v>6.4278754363131663</v>
      </c>
      <c r="K404" s="1">
        <f t="shared" si="33"/>
        <v>3.7335722819593715E-7</v>
      </c>
      <c r="L404" s="17">
        <f t="shared" si="34"/>
        <v>433.35082900116856</v>
      </c>
    </row>
    <row r="405" spans="1:12" x14ac:dyDescent="0.3">
      <c r="A405" s="9">
        <v>0.1</v>
      </c>
      <c r="B405" s="10" t="s">
        <v>21</v>
      </c>
      <c r="C405" s="5">
        <v>80</v>
      </c>
      <c r="D405" s="9">
        <v>150.52000000000001</v>
      </c>
      <c r="E405" s="9">
        <v>47.872999999999998</v>
      </c>
      <c r="F405" s="11">
        <v>0.31803999999999999</v>
      </c>
      <c r="G405" s="12">
        <f t="shared" si="30"/>
        <v>-1</v>
      </c>
      <c r="H405" s="1">
        <v>1224</v>
      </c>
      <c r="I405" s="2">
        <f t="shared" si="31"/>
        <v>3.0877814178095422</v>
      </c>
      <c r="J405" s="2">
        <f t="shared" si="32"/>
        <v>2.0877814178095422</v>
      </c>
      <c r="K405" s="1">
        <f t="shared" si="33"/>
        <v>8.169934640522878E-3</v>
      </c>
      <c r="L405" s="17">
        <f t="shared" si="34"/>
        <v>157.94965821108954</v>
      </c>
    </row>
    <row r="406" spans="1:12" x14ac:dyDescent="0.3">
      <c r="A406" s="9">
        <v>0.12589</v>
      </c>
      <c r="B406" s="10" t="s">
        <v>21</v>
      </c>
      <c r="C406" s="5">
        <v>80</v>
      </c>
      <c r="D406" s="9">
        <v>160</v>
      </c>
      <c r="E406" s="9">
        <v>46.715000000000003</v>
      </c>
      <c r="F406" s="11">
        <v>0.29197000000000001</v>
      </c>
      <c r="G406" s="12">
        <f t="shared" si="30"/>
        <v>-0.90000876645531558</v>
      </c>
      <c r="H406" s="1">
        <v>1224</v>
      </c>
      <c r="I406" s="2">
        <f t="shared" si="31"/>
        <v>3.0877814178095422</v>
      </c>
      <c r="J406" s="2">
        <f t="shared" si="32"/>
        <v>2.1877726513542264</v>
      </c>
      <c r="K406" s="1">
        <f t="shared" si="33"/>
        <v>6.4897407582197768E-3</v>
      </c>
      <c r="L406" s="17">
        <f t="shared" si="34"/>
        <v>166.68020645835546</v>
      </c>
    </row>
    <row r="407" spans="1:12" x14ac:dyDescent="0.3">
      <c r="A407" s="9">
        <v>0.15848999999999999</v>
      </c>
      <c r="B407" s="10" t="s">
        <v>21</v>
      </c>
      <c r="C407" s="5">
        <v>80</v>
      </c>
      <c r="D407" s="9">
        <v>170.56</v>
      </c>
      <c r="E407" s="9">
        <v>45.716000000000001</v>
      </c>
      <c r="F407" s="11">
        <v>0.26802999999999999</v>
      </c>
      <c r="G407" s="12">
        <f t="shared" si="30"/>
        <v>-0.79999813459339819</v>
      </c>
      <c r="H407" s="1">
        <v>1224</v>
      </c>
      <c r="I407" s="2">
        <f t="shared" si="31"/>
        <v>3.0877814178095422</v>
      </c>
      <c r="J407" s="2">
        <f t="shared" si="32"/>
        <v>2.287783283216144</v>
      </c>
      <c r="K407" s="1">
        <f t="shared" si="33"/>
        <v>5.1548581238708268E-3</v>
      </c>
      <c r="L407" s="17">
        <f t="shared" si="34"/>
        <v>176.58048095981616</v>
      </c>
    </row>
    <row r="408" spans="1:12" x14ac:dyDescent="0.3">
      <c r="A408" s="9">
        <v>0.19953000000000001</v>
      </c>
      <c r="B408" s="10" t="s">
        <v>21</v>
      </c>
      <c r="C408" s="5">
        <v>80</v>
      </c>
      <c r="D408" s="9">
        <v>179.78</v>
      </c>
      <c r="E408" s="9">
        <v>45.012</v>
      </c>
      <c r="F408" s="11">
        <v>0.25036999999999998</v>
      </c>
      <c r="G408" s="12">
        <f t="shared" si="30"/>
        <v>-0.69999179744618689</v>
      </c>
      <c r="H408" s="1">
        <v>1224</v>
      </c>
      <c r="I408" s="2">
        <f t="shared" si="31"/>
        <v>3.0877814178095422</v>
      </c>
      <c r="J408" s="2">
        <f t="shared" si="32"/>
        <v>2.3877896203633551</v>
      </c>
      <c r="K408" s="1">
        <f t="shared" si="33"/>
        <v>4.0945896058351521E-3</v>
      </c>
      <c r="L408" s="17">
        <f t="shared" si="34"/>
        <v>185.32924362873766</v>
      </c>
    </row>
    <row r="409" spans="1:12" x14ac:dyDescent="0.3">
      <c r="A409" s="9">
        <v>0.25119000000000002</v>
      </c>
      <c r="B409" s="10" t="s">
        <v>21</v>
      </c>
      <c r="C409" s="5">
        <v>80</v>
      </c>
      <c r="D409" s="9">
        <v>188.72</v>
      </c>
      <c r="E409" s="9">
        <v>44.468000000000004</v>
      </c>
      <c r="F409" s="11">
        <v>0.23563000000000001</v>
      </c>
      <c r="G409" s="12">
        <f t="shared" si="30"/>
        <v>-0.59999765407204408</v>
      </c>
      <c r="H409" s="1">
        <v>1224</v>
      </c>
      <c r="I409" s="2">
        <f t="shared" si="31"/>
        <v>3.0877814178095422</v>
      </c>
      <c r="J409" s="2">
        <f t="shared" si="32"/>
        <v>2.487783763737498</v>
      </c>
      <c r="K409" s="1">
        <f t="shared" si="33"/>
        <v>3.2524919943162055E-3</v>
      </c>
      <c r="L409" s="17">
        <f t="shared" si="34"/>
        <v>193.88821888913211</v>
      </c>
    </row>
    <row r="410" spans="1:12" x14ac:dyDescent="0.3">
      <c r="A410" s="9">
        <v>0.31623000000000001</v>
      </c>
      <c r="B410" s="10" t="s">
        <v>21</v>
      </c>
      <c r="C410" s="5">
        <v>80</v>
      </c>
      <c r="D410" s="9">
        <v>197.3</v>
      </c>
      <c r="E410" s="9">
        <v>44.100999999999999</v>
      </c>
      <c r="F410" s="11">
        <v>0.22353000000000001</v>
      </c>
      <c r="G410" s="12">
        <f t="shared" si="30"/>
        <v>-0.4999969319483068</v>
      </c>
      <c r="H410" s="1">
        <v>1224</v>
      </c>
      <c r="I410" s="2">
        <f t="shared" si="31"/>
        <v>3.0877814178095422</v>
      </c>
      <c r="J410" s="2">
        <f t="shared" si="32"/>
        <v>2.5877844858612353</v>
      </c>
      <c r="K410" s="1">
        <f t="shared" si="33"/>
        <v>2.5835419285086423E-3</v>
      </c>
      <c r="L410" s="17">
        <f t="shared" si="34"/>
        <v>202.16871222075883</v>
      </c>
    </row>
    <row r="411" spans="1:12" x14ac:dyDescent="0.3">
      <c r="A411" s="9">
        <v>0.39811000000000002</v>
      </c>
      <c r="B411" s="10" t="s">
        <v>21</v>
      </c>
      <c r="C411" s="5">
        <v>80</v>
      </c>
      <c r="D411" s="9">
        <v>205.02</v>
      </c>
      <c r="E411" s="9">
        <v>43.58</v>
      </c>
      <c r="F411" s="11">
        <v>0.21256</v>
      </c>
      <c r="G411" s="12">
        <f t="shared" si="30"/>
        <v>-0.39999691337225962</v>
      </c>
      <c r="H411" s="1">
        <v>1224</v>
      </c>
      <c r="I411" s="2">
        <f t="shared" si="31"/>
        <v>3.0877814178095422</v>
      </c>
      <c r="J411" s="2">
        <f t="shared" si="32"/>
        <v>2.6877845044372828</v>
      </c>
      <c r="K411" s="1">
        <f t="shared" si="33"/>
        <v>2.0521802116306733E-3</v>
      </c>
      <c r="L411" s="17">
        <f t="shared" si="34"/>
        <v>209.60061259452465</v>
      </c>
    </row>
    <row r="412" spans="1:12" x14ac:dyDescent="0.3">
      <c r="A412" s="9">
        <v>0.50119000000000002</v>
      </c>
      <c r="B412" s="10" t="s">
        <v>21</v>
      </c>
      <c r="C412" s="5">
        <v>80</v>
      </c>
      <c r="D412" s="9">
        <v>212.64</v>
      </c>
      <c r="E412" s="9">
        <v>43.476999999999997</v>
      </c>
      <c r="F412" s="11">
        <v>0.20446</v>
      </c>
      <c r="G412" s="12">
        <f t="shared" si="30"/>
        <v>-0.29999760285774607</v>
      </c>
      <c r="H412" s="1">
        <v>1224</v>
      </c>
      <c r="I412" s="2">
        <f t="shared" si="31"/>
        <v>3.0877814178095422</v>
      </c>
      <c r="J412" s="2">
        <f t="shared" si="32"/>
        <v>2.7877838149517959</v>
      </c>
      <c r="K412" s="1">
        <f t="shared" si="33"/>
        <v>1.6301072727953228E-3</v>
      </c>
      <c r="L412" s="17">
        <f t="shared" si="34"/>
        <v>217.03921104030948</v>
      </c>
    </row>
    <row r="413" spans="1:12" x14ac:dyDescent="0.3">
      <c r="A413" s="9">
        <v>0.63095999999999997</v>
      </c>
      <c r="B413" s="10" t="s">
        <v>21</v>
      </c>
      <c r="C413" s="5">
        <v>80</v>
      </c>
      <c r="D413" s="9">
        <v>219.61</v>
      </c>
      <c r="E413" s="9">
        <v>42.975000000000001</v>
      </c>
      <c r="F413" s="11">
        <v>0.19569</v>
      </c>
      <c r="G413" s="12">
        <f t="shared" si="30"/>
        <v>-0.19999817218203128</v>
      </c>
      <c r="H413" s="1">
        <v>1224</v>
      </c>
      <c r="I413" s="2">
        <f t="shared" si="31"/>
        <v>3.0877814178095422</v>
      </c>
      <c r="J413" s="2">
        <f t="shared" si="32"/>
        <v>2.887783245627511</v>
      </c>
      <c r="K413" s="1">
        <f t="shared" si="33"/>
        <v>1.2948419298406991E-3</v>
      </c>
      <c r="L413" s="17">
        <f t="shared" si="34"/>
        <v>223.77533985003799</v>
      </c>
    </row>
    <row r="414" spans="1:12" x14ac:dyDescent="0.3">
      <c r="A414" s="9">
        <v>0.79432999999999998</v>
      </c>
      <c r="B414" s="10" t="s">
        <v>21</v>
      </c>
      <c r="C414" s="5">
        <v>80</v>
      </c>
      <c r="D414" s="9">
        <v>226.56</v>
      </c>
      <c r="E414" s="9">
        <v>42.664999999999999</v>
      </c>
      <c r="F414" s="11">
        <v>0.18831999999999999</v>
      </c>
      <c r="G414" s="12">
        <f t="shared" si="30"/>
        <v>-9.9999034846530471E-2</v>
      </c>
      <c r="H414" s="1">
        <v>1224</v>
      </c>
      <c r="I414" s="2">
        <f t="shared" si="31"/>
        <v>3.0877814178095422</v>
      </c>
      <c r="J414" s="2">
        <f t="shared" si="32"/>
        <v>2.9877823829630117</v>
      </c>
      <c r="K414" s="1">
        <f t="shared" si="33"/>
        <v>1.0285315474076113E-3</v>
      </c>
      <c r="L414" s="17">
        <f t="shared" si="34"/>
        <v>230.54226472601505</v>
      </c>
    </row>
    <row r="415" spans="1:12" x14ac:dyDescent="0.3">
      <c r="A415" s="9">
        <v>1</v>
      </c>
      <c r="B415" s="10" t="s">
        <v>21</v>
      </c>
      <c r="C415" s="5">
        <v>80</v>
      </c>
      <c r="D415" s="9">
        <v>233.13</v>
      </c>
      <c r="E415" s="9">
        <v>42.411999999999999</v>
      </c>
      <c r="F415" s="11">
        <v>0.18192</v>
      </c>
      <c r="G415" s="12">
        <f t="shared" si="30"/>
        <v>0</v>
      </c>
      <c r="H415" s="1">
        <v>1224</v>
      </c>
      <c r="I415" s="2">
        <f t="shared" si="31"/>
        <v>3.0877814178095422</v>
      </c>
      <c r="J415" s="2">
        <f t="shared" si="32"/>
        <v>3.0877814178095422</v>
      </c>
      <c r="K415" s="1">
        <f t="shared" si="33"/>
        <v>8.1699346405228761E-4</v>
      </c>
      <c r="L415" s="17">
        <f t="shared" si="34"/>
        <v>236.95648259543353</v>
      </c>
    </row>
    <row r="416" spans="1:12" x14ac:dyDescent="0.3">
      <c r="A416" s="9">
        <v>1.2589300000000001</v>
      </c>
      <c r="B416" s="10" t="s">
        <v>21</v>
      </c>
      <c r="C416" s="5">
        <v>80</v>
      </c>
      <c r="D416" s="9">
        <v>239.93</v>
      </c>
      <c r="E416" s="9">
        <v>42.171999999999997</v>
      </c>
      <c r="F416" s="11">
        <v>0.17577000000000001</v>
      </c>
      <c r="G416" s="12">
        <f t="shared" si="30"/>
        <v>0.10000158280135207</v>
      </c>
      <c r="H416" s="1">
        <v>1224</v>
      </c>
      <c r="I416" s="2">
        <f t="shared" si="31"/>
        <v>3.0877814178095422</v>
      </c>
      <c r="J416" s="2">
        <f t="shared" si="32"/>
        <v>3.187783000610894</v>
      </c>
      <c r="K416" s="1">
        <f t="shared" si="33"/>
        <v>6.4895861092537923E-4</v>
      </c>
      <c r="L416" s="17">
        <f t="shared" si="34"/>
        <v>243.60805094249247</v>
      </c>
    </row>
    <row r="417" spans="1:12" x14ac:dyDescent="0.3">
      <c r="A417" s="9">
        <v>1.5848899999999999</v>
      </c>
      <c r="B417" s="10" t="s">
        <v>21</v>
      </c>
      <c r="C417" s="5">
        <v>80</v>
      </c>
      <c r="D417" s="9">
        <v>246.34</v>
      </c>
      <c r="E417" s="9">
        <v>41.893999999999998</v>
      </c>
      <c r="F417" s="11">
        <v>0.17005999999999999</v>
      </c>
      <c r="G417" s="12">
        <f t="shared" si="30"/>
        <v>0.19999912519679666</v>
      </c>
      <c r="H417" s="1">
        <v>1224</v>
      </c>
      <c r="I417" s="2">
        <f t="shared" si="31"/>
        <v>3.0877814178095422</v>
      </c>
      <c r="J417" s="2">
        <f t="shared" si="32"/>
        <v>3.2877805430063387</v>
      </c>
      <c r="K417" s="1">
        <f t="shared" si="33"/>
        <v>5.1548906488922772E-4</v>
      </c>
      <c r="L417" s="17">
        <f t="shared" si="34"/>
        <v>249.87697540189652</v>
      </c>
    </row>
    <row r="418" spans="1:12" x14ac:dyDescent="0.3">
      <c r="A418" s="9">
        <v>1.99526</v>
      </c>
      <c r="B418" s="10" t="s">
        <v>21</v>
      </c>
      <c r="C418" s="5">
        <v>80</v>
      </c>
      <c r="D418" s="9">
        <v>252.72</v>
      </c>
      <c r="E418" s="9">
        <v>41.692999999999998</v>
      </c>
      <c r="F418" s="11">
        <v>0.16497999999999999</v>
      </c>
      <c r="G418" s="12">
        <f t="shared" si="30"/>
        <v>0.29999949611698379</v>
      </c>
      <c r="H418" s="1">
        <v>1224</v>
      </c>
      <c r="I418" s="2">
        <f t="shared" si="31"/>
        <v>3.0877814178095422</v>
      </c>
      <c r="J418" s="2">
        <f t="shared" si="32"/>
        <v>3.3877809139265258</v>
      </c>
      <c r="K418" s="1">
        <f t="shared" si="33"/>
        <v>4.0946716921718855E-4</v>
      </c>
      <c r="L418" s="17">
        <f t="shared" si="34"/>
        <v>256.13610571139708</v>
      </c>
    </row>
    <row r="419" spans="1:12" x14ac:dyDescent="0.3">
      <c r="A419" s="9">
        <v>2.5118900000000002</v>
      </c>
      <c r="B419" s="10" t="s">
        <v>21</v>
      </c>
      <c r="C419" s="5">
        <v>80</v>
      </c>
      <c r="D419" s="9">
        <v>258.86</v>
      </c>
      <c r="E419" s="9">
        <v>41.292999999999999</v>
      </c>
      <c r="F419" s="11">
        <v>0.15952</v>
      </c>
      <c r="G419" s="12">
        <f t="shared" si="30"/>
        <v>0.40000061697637995</v>
      </c>
      <c r="H419" s="1">
        <v>1224</v>
      </c>
      <c r="I419" s="2">
        <f t="shared" si="31"/>
        <v>3.0877814178095422</v>
      </c>
      <c r="J419" s="2">
        <f t="shared" si="32"/>
        <v>3.4877820347859223</v>
      </c>
      <c r="K419" s="1">
        <f t="shared" si="33"/>
        <v>3.2525049427016567E-4</v>
      </c>
      <c r="L419" s="17">
        <f t="shared" si="34"/>
        <v>262.13281261414033</v>
      </c>
    </row>
    <row r="420" spans="1:12" x14ac:dyDescent="0.3">
      <c r="A420" s="9">
        <v>3.16228</v>
      </c>
      <c r="B420" s="10" t="s">
        <v>21</v>
      </c>
      <c r="C420" s="5">
        <v>80</v>
      </c>
      <c r="D420" s="9">
        <v>265.27999999999997</v>
      </c>
      <c r="E420" s="9">
        <v>41.119</v>
      </c>
      <c r="F420" s="11">
        <v>0.155</v>
      </c>
      <c r="G420" s="12">
        <f t="shared" si="30"/>
        <v>0.50000032134293526</v>
      </c>
      <c r="H420" s="1">
        <v>1224</v>
      </c>
      <c r="I420" s="2">
        <f t="shared" si="31"/>
        <v>3.0877814178095422</v>
      </c>
      <c r="J420" s="2">
        <f t="shared" si="32"/>
        <v>3.5877817391524776</v>
      </c>
      <c r="K420" s="1">
        <f t="shared" si="33"/>
        <v>2.5835582682504001E-4</v>
      </c>
      <c r="L420" s="17">
        <f t="shared" si="34"/>
        <v>268.44785445408201</v>
      </c>
    </row>
    <row r="421" spans="1:12" x14ac:dyDescent="0.3">
      <c r="A421" s="9">
        <v>3.9810699999999999</v>
      </c>
      <c r="B421" s="10" t="s">
        <v>21</v>
      </c>
      <c r="C421" s="5">
        <v>80</v>
      </c>
      <c r="D421" s="9">
        <v>271.3</v>
      </c>
      <c r="E421" s="9">
        <v>40.814999999999998</v>
      </c>
      <c r="F421" s="11">
        <v>0.15043999999999999</v>
      </c>
      <c r="G421" s="12">
        <f t="shared" si="30"/>
        <v>0.59999981394342006</v>
      </c>
      <c r="H421" s="1">
        <v>1224</v>
      </c>
      <c r="I421" s="2">
        <f t="shared" si="31"/>
        <v>3.0877814178095422</v>
      </c>
      <c r="J421" s="2">
        <f t="shared" si="32"/>
        <v>3.6877812317529624</v>
      </c>
      <c r="K421" s="1">
        <f t="shared" si="33"/>
        <v>2.0521956761681824E-4</v>
      </c>
      <c r="L421" s="17">
        <f t="shared" si="34"/>
        <v>274.35297378559613</v>
      </c>
    </row>
    <row r="422" spans="1:12" x14ac:dyDescent="0.3">
      <c r="A422" s="9">
        <v>5.01187</v>
      </c>
      <c r="B422" s="10" t="s">
        <v>21</v>
      </c>
      <c r="C422" s="5">
        <v>80</v>
      </c>
      <c r="D422" s="9">
        <v>277.18</v>
      </c>
      <c r="E422" s="9">
        <v>40.645000000000003</v>
      </c>
      <c r="F422" s="11">
        <v>0.14663999999999999</v>
      </c>
      <c r="G422" s="12">
        <f t="shared" si="30"/>
        <v>0.69999979755458241</v>
      </c>
      <c r="H422" s="1">
        <v>1224</v>
      </c>
      <c r="I422" s="2">
        <f t="shared" si="31"/>
        <v>3.0877814178095422</v>
      </c>
      <c r="J422" s="2">
        <f t="shared" si="32"/>
        <v>3.7877812153641246</v>
      </c>
      <c r="K422" s="1">
        <f t="shared" si="33"/>
        <v>1.6301170302747029E-4</v>
      </c>
      <c r="L422" s="17">
        <f t="shared" si="34"/>
        <v>280.14419220287255</v>
      </c>
    </row>
    <row r="423" spans="1:12" x14ac:dyDescent="0.3">
      <c r="A423" s="9">
        <v>6.3095800000000004</v>
      </c>
      <c r="B423" s="10" t="s">
        <v>21</v>
      </c>
      <c r="C423" s="5">
        <v>80</v>
      </c>
      <c r="D423" s="9">
        <v>283.14999999999998</v>
      </c>
      <c r="E423" s="9">
        <v>40.411000000000001</v>
      </c>
      <c r="F423" s="11">
        <v>0.14272000000000001</v>
      </c>
      <c r="G423" s="12">
        <f t="shared" si="30"/>
        <v>0.80000045120084495</v>
      </c>
      <c r="H423" s="1">
        <v>1224</v>
      </c>
      <c r="I423" s="2">
        <f t="shared" si="31"/>
        <v>3.0877814178095422</v>
      </c>
      <c r="J423" s="2">
        <f t="shared" si="32"/>
        <v>3.8877818690103871</v>
      </c>
      <c r="K423" s="1">
        <f t="shared" si="33"/>
        <v>1.2948460342087541E-4</v>
      </c>
      <c r="L423" s="17">
        <f t="shared" si="34"/>
        <v>286.01918016279956</v>
      </c>
    </row>
    <row r="424" spans="1:12" x14ac:dyDescent="0.3">
      <c r="A424" s="9">
        <v>7.9432900000000002</v>
      </c>
      <c r="B424" s="10" t="s">
        <v>21</v>
      </c>
      <c r="C424" s="5">
        <v>80</v>
      </c>
      <c r="D424" s="9">
        <v>289.04000000000002</v>
      </c>
      <c r="E424" s="9">
        <v>40.241</v>
      </c>
      <c r="F424" s="11">
        <v>0.13922000000000001</v>
      </c>
      <c r="G424" s="12">
        <f t="shared" si="30"/>
        <v>0.90000041840998102</v>
      </c>
      <c r="H424" s="1">
        <v>1224</v>
      </c>
      <c r="I424" s="2">
        <f t="shared" si="31"/>
        <v>3.0877814178095422</v>
      </c>
      <c r="J424" s="2">
        <f t="shared" si="32"/>
        <v>3.987781836219523</v>
      </c>
      <c r="K424" s="1">
        <f t="shared" si="33"/>
        <v>1.0285328422508653E-4</v>
      </c>
      <c r="L424" s="17">
        <f t="shared" si="34"/>
        <v>291.82779113888381</v>
      </c>
    </row>
    <row r="425" spans="1:12" x14ac:dyDescent="0.3">
      <c r="A425" s="9">
        <v>10</v>
      </c>
      <c r="B425" s="10" t="s">
        <v>21</v>
      </c>
      <c r="C425" s="5">
        <v>80</v>
      </c>
      <c r="D425" s="9">
        <v>294.93</v>
      </c>
      <c r="E425" s="9">
        <v>40.088999999999999</v>
      </c>
      <c r="F425" s="11">
        <v>0.13593</v>
      </c>
      <c r="G425" s="12">
        <f t="shared" si="30"/>
        <v>1</v>
      </c>
      <c r="H425" s="1">
        <v>1224</v>
      </c>
      <c r="I425" s="2">
        <f t="shared" si="31"/>
        <v>3.0877814178095422</v>
      </c>
      <c r="J425" s="2">
        <f t="shared" si="32"/>
        <v>4.0877814178095422</v>
      </c>
      <c r="K425" s="1">
        <f t="shared" si="33"/>
        <v>8.1699346405228658E-5</v>
      </c>
      <c r="L425" s="17">
        <f t="shared" si="34"/>
        <v>297.64212205432216</v>
      </c>
    </row>
    <row r="426" spans="1:12" x14ac:dyDescent="0.3">
      <c r="A426" s="9">
        <v>12.5893</v>
      </c>
      <c r="B426" s="10" t="s">
        <v>21</v>
      </c>
      <c r="C426" s="5">
        <v>80</v>
      </c>
      <c r="D426" s="9">
        <v>300.88</v>
      </c>
      <c r="E426" s="9">
        <v>39.941000000000003</v>
      </c>
      <c r="F426" s="11">
        <v>0.13275000000000001</v>
      </c>
      <c r="G426" s="12">
        <f t="shared" si="30"/>
        <v>1.1000015828013521</v>
      </c>
      <c r="H426" s="1">
        <v>1224</v>
      </c>
      <c r="I426" s="2">
        <f t="shared" si="31"/>
        <v>3.0877814178095422</v>
      </c>
      <c r="J426" s="2">
        <f t="shared" si="32"/>
        <v>4.187783000610894</v>
      </c>
      <c r="K426" s="1">
        <f t="shared" si="33"/>
        <v>6.4895861092537899E-5</v>
      </c>
      <c r="L426" s="17">
        <f t="shared" si="34"/>
        <v>303.51945222835388</v>
      </c>
    </row>
    <row r="427" spans="1:12" x14ac:dyDescent="0.3">
      <c r="A427" s="9">
        <v>15.8489</v>
      </c>
      <c r="B427" s="10" t="s">
        <v>21</v>
      </c>
      <c r="C427" s="5">
        <v>80</v>
      </c>
      <c r="D427" s="9">
        <v>306.91000000000003</v>
      </c>
      <c r="E427" s="9">
        <v>39.774999999999999</v>
      </c>
      <c r="F427" s="11">
        <v>0.12959999999999999</v>
      </c>
      <c r="G427" s="12">
        <f t="shared" si="30"/>
        <v>1.1999991251967967</v>
      </c>
      <c r="H427" s="1">
        <v>1224</v>
      </c>
      <c r="I427" s="2">
        <f t="shared" si="31"/>
        <v>3.0877814178095422</v>
      </c>
      <c r="J427" s="2">
        <f t="shared" si="32"/>
        <v>4.2877805430063392</v>
      </c>
      <c r="K427" s="1">
        <f t="shared" si="33"/>
        <v>5.1548906488922711E-5</v>
      </c>
      <c r="L427" s="17">
        <f t="shared" si="34"/>
        <v>309.47665295624483</v>
      </c>
    </row>
    <row r="428" spans="1:12" x14ac:dyDescent="0.3">
      <c r="A428" s="9">
        <v>19.9526</v>
      </c>
      <c r="B428" s="10" t="s">
        <v>21</v>
      </c>
      <c r="C428" s="5">
        <v>80</v>
      </c>
      <c r="D428" s="9">
        <v>312.8</v>
      </c>
      <c r="E428" s="9">
        <v>39.67</v>
      </c>
      <c r="F428" s="11">
        <v>0.12681999999999999</v>
      </c>
      <c r="G428" s="12">
        <f t="shared" si="30"/>
        <v>1.2999994961169838</v>
      </c>
      <c r="H428" s="1">
        <v>1224</v>
      </c>
      <c r="I428" s="2">
        <f t="shared" si="31"/>
        <v>3.0877814178095422</v>
      </c>
      <c r="J428" s="2">
        <f t="shared" si="32"/>
        <v>4.3877809139265258</v>
      </c>
      <c r="K428" s="1">
        <f t="shared" si="33"/>
        <v>4.0946716921718847E-5</v>
      </c>
      <c r="L428" s="17">
        <f t="shared" si="34"/>
        <v>315.30548504585204</v>
      </c>
    </row>
    <row r="429" spans="1:12" x14ac:dyDescent="0.3">
      <c r="A429" s="9">
        <v>25.1189</v>
      </c>
      <c r="B429" s="10" t="s">
        <v>21</v>
      </c>
      <c r="C429" s="5">
        <v>80</v>
      </c>
      <c r="D429" s="9">
        <v>318.60000000000002</v>
      </c>
      <c r="E429" s="9">
        <v>39.424999999999997</v>
      </c>
      <c r="F429" s="11">
        <v>0.12375</v>
      </c>
      <c r="G429" s="12">
        <f t="shared" si="30"/>
        <v>1.4000006169763799</v>
      </c>
      <c r="H429" s="1">
        <v>1224</v>
      </c>
      <c r="I429" s="2">
        <f t="shared" si="31"/>
        <v>3.0877814178095422</v>
      </c>
      <c r="J429" s="2">
        <f t="shared" si="32"/>
        <v>4.4877820347859219</v>
      </c>
      <c r="K429" s="1">
        <f t="shared" si="33"/>
        <v>3.2525049427016588E-5</v>
      </c>
      <c r="L429" s="17">
        <f t="shared" si="34"/>
        <v>321.03004629629299</v>
      </c>
    </row>
    <row r="430" spans="1:12" x14ac:dyDescent="0.3">
      <c r="A430" s="9">
        <v>31.622800000000002</v>
      </c>
      <c r="B430" s="10" t="s">
        <v>21</v>
      </c>
      <c r="C430" s="5">
        <v>80</v>
      </c>
      <c r="D430" s="9">
        <v>324.39999999999998</v>
      </c>
      <c r="E430" s="9">
        <v>39.209000000000003</v>
      </c>
      <c r="F430" s="11">
        <v>0.12087000000000001</v>
      </c>
      <c r="G430" s="12">
        <f t="shared" si="30"/>
        <v>1.5000003213429354</v>
      </c>
      <c r="H430" s="1">
        <v>1224</v>
      </c>
      <c r="I430" s="2">
        <f t="shared" si="31"/>
        <v>3.0877814178095422</v>
      </c>
      <c r="J430" s="2">
        <f t="shared" si="32"/>
        <v>4.5877817391524776</v>
      </c>
      <c r="K430" s="1">
        <f t="shared" si="33"/>
        <v>2.5835582682503971E-5</v>
      </c>
      <c r="L430" s="17">
        <f t="shared" si="34"/>
        <v>326.760930469051</v>
      </c>
    </row>
    <row r="431" spans="1:12" x14ac:dyDescent="0.3">
      <c r="A431" s="9">
        <v>39.810699999999997</v>
      </c>
      <c r="B431" s="10" t="s">
        <v>21</v>
      </c>
      <c r="C431" s="5">
        <v>80</v>
      </c>
      <c r="D431" s="9">
        <v>330.35</v>
      </c>
      <c r="E431" s="9">
        <v>39.276000000000003</v>
      </c>
      <c r="F431" s="11">
        <v>0.11889</v>
      </c>
      <c r="G431" s="12">
        <f t="shared" si="30"/>
        <v>1.5999998139434199</v>
      </c>
      <c r="H431" s="1">
        <v>1224</v>
      </c>
      <c r="I431" s="2">
        <f t="shared" si="31"/>
        <v>3.0877814178095422</v>
      </c>
      <c r="J431" s="2">
        <f t="shared" si="32"/>
        <v>4.6877812317529619</v>
      </c>
      <c r="K431" s="1">
        <f t="shared" si="33"/>
        <v>2.0521956761681873E-5</v>
      </c>
      <c r="L431" s="17">
        <f t="shared" si="34"/>
        <v>332.676609751873</v>
      </c>
    </row>
    <row r="432" spans="1:12" x14ac:dyDescent="0.3">
      <c r="A432" s="9">
        <v>50.1188</v>
      </c>
      <c r="B432" s="10" t="s">
        <v>21</v>
      </c>
      <c r="C432" s="5">
        <v>80</v>
      </c>
      <c r="D432" s="9">
        <v>336.28</v>
      </c>
      <c r="E432" s="9">
        <v>39.158000000000001</v>
      </c>
      <c r="F432" s="11">
        <v>0.11644</v>
      </c>
      <c r="G432" s="12">
        <f t="shared" si="30"/>
        <v>1.7000006640855352</v>
      </c>
      <c r="H432" s="1">
        <v>1224</v>
      </c>
      <c r="I432" s="2">
        <f t="shared" si="31"/>
        <v>3.0877814178095422</v>
      </c>
      <c r="J432" s="2">
        <f t="shared" si="32"/>
        <v>4.7877820818950774</v>
      </c>
      <c r="K432" s="1">
        <f t="shared" si="33"/>
        <v>1.630113777768596E-5</v>
      </c>
      <c r="L432" s="17">
        <f t="shared" si="34"/>
        <v>338.55219296882422</v>
      </c>
    </row>
    <row r="433" spans="1:12" x14ac:dyDescent="0.3">
      <c r="A433" s="9">
        <v>63.095799999999997</v>
      </c>
      <c r="B433" s="10" t="s">
        <v>21</v>
      </c>
      <c r="C433" s="5">
        <v>80</v>
      </c>
      <c r="D433" s="9">
        <v>341.82</v>
      </c>
      <c r="E433" s="9">
        <v>39.017000000000003</v>
      </c>
      <c r="F433" s="11">
        <v>0.11414000000000001</v>
      </c>
      <c r="G433" s="12">
        <f t="shared" si="30"/>
        <v>1.800000451200845</v>
      </c>
      <c r="H433" s="1">
        <v>1224</v>
      </c>
      <c r="I433" s="2">
        <f t="shared" si="31"/>
        <v>3.0877814178095422</v>
      </c>
      <c r="J433" s="2">
        <f t="shared" si="32"/>
        <v>4.8877818690103876</v>
      </c>
      <c r="K433" s="1">
        <f t="shared" si="33"/>
        <v>1.2948460342087527E-5</v>
      </c>
      <c r="L433" s="17">
        <f t="shared" si="34"/>
        <v>344.03958883971478</v>
      </c>
    </row>
    <row r="434" spans="1:12" x14ac:dyDescent="0.3">
      <c r="A434" s="9">
        <v>79.432900000000004</v>
      </c>
      <c r="B434" s="10" t="s">
        <v>21</v>
      </c>
      <c r="C434" s="5">
        <v>80</v>
      </c>
      <c r="D434" s="9">
        <v>347.45</v>
      </c>
      <c r="E434" s="9">
        <v>38.887999999999998</v>
      </c>
      <c r="F434" s="11">
        <v>0.11193</v>
      </c>
      <c r="G434" s="12">
        <f t="shared" si="30"/>
        <v>1.900000418409981</v>
      </c>
      <c r="H434" s="1">
        <v>1224</v>
      </c>
      <c r="I434" s="2">
        <f t="shared" si="31"/>
        <v>3.0877814178095422</v>
      </c>
      <c r="J434" s="2">
        <f t="shared" si="32"/>
        <v>4.987781836219523</v>
      </c>
      <c r="K434" s="1">
        <f t="shared" si="33"/>
        <v>1.0285328422508641E-5</v>
      </c>
      <c r="L434" s="17">
        <f t="shared" si="34"/>
        <v>349.61947749517617</v>
      </c>
    </row>
    <row r="435" spans="1:12" x14ac:dyDescent="0.3">
      <c r="A435" s="9">
        <v>100</v>
      </c>
      <c r="B435" s="10" t="s">
        <v>21</v>
      </c>
      <c r="C435" s="5">
        <v>80</v>
      </c>
      <c r="D435" s="9">
        <v>352.94</v>
      </c>
      <c r="E435" s="9">
        <v>38.723999999999997</v>
      </c>
      <c r="F435" s="11">
        <v>0.10972</v>
      </c>
      <c r="G435" s="12">
        <f t="shared" si="30"/>
        <v>2</v>
      </c>
      <c r="H435" s="1">
        <v>1224</v>
      </c>
      <c r="I435" s="2">
        <f t="shared" si="31"/>
        <v>3.0877814178095422</v>
      </c>
      <c r="J435" s="2">
        <f t="shared" si="32"/>
        <v>5.0877814178095422</v>
      </c>
      <c r="K435" s="1">
        <f t="shared" si="33"/>
        <v>8.1699346405228715E-6</v>
      </c>
      <c r="L435" s="17">
        <f t="shared" si="34"/>
        <v>355.05801184595174</v>
      </c>
    </row>
    <row r="436" spans="1:12" x14ac:dyDescent="0.3">
      <c r="A436" s="4">
        <v>0.1</v>
      </c>
      <c r="B436" s="5" t="s">
        <v>22</v>
      </c>
      <c r="C436" s="5">
        <v>90</v>
      </c>
      <c r="D436" s="4">
        <v>73.572000000000003</v>
      </c>
      <c r="E436" s="4">
        <v>32.424999999999997</v>
      </c>
      <c r="F436" s="6">
        <v>0.44073000000000001</v>
      </c>
      <c r="G436" s="7">
        <f t="shared" si="30"/>
        <v>-1</v>
      </c>
      <c r="H436" s="1">
        <v>28.799999999999997</v>
      </c>
      <c r="I436" s="2">
        <f t="shared" si="31"/>
        <v>1.4593924877592308</v>
      </c>
      <c r="J436" s="2">
        <f t="shared" si="32"/>
        <v>0.45939248775923081</v>
      </c>
      <c r="K436" s="1">
        <f t="shared" si="33"/>
        <v>0.34722222222222221</v>
      </c>
      <c r="L436" s="17">
        <f t="shared" si="34"/>
        <v>80.400371945657071</v>
      </c>
    </row>
    <row r="437" spans="1:12" x14ac:dyDescent="0.3">
      <c r="A437" s="4">
        <v>0.12589</v>
      </c>
      <c r="B437" s="5" t="s">
        <v>22</v>
      </c>
      <c r="C437" s="5">
        <v>90</v>
      </c>
      <c r="D437" s="4">
        <v>79.784999999999997</v>
      </c>
      <c r="E437" s="4">
        <v>33.008000000000003</v>
      </c>
      <c r="F437" s="6">
        <v>0.41371000000000002</v>
      </c>
      <c r="G437" s="7">
        <f t="shared" si="30"/>
        <v>-0.90000876645531558</v>
      </c>
      <c r="H437" s="1">
        <v>28.799999999999997</v>
      </c>
      <c r="I437" s="2">
        <f t="shared" si="31"/>
        <v>1.4593924877592308</v>
      </c>
      <c r="J437" s="2">
        <f t="shared" si="32"/>
        <v>0.55938372130391523</v>
      </c>
      <c r="K437" s="1">
        <f t="shared" si="33"/>
        <v>0.2758139822243405</v>
      </c>
      <c r="L437" s="17">
        <f t="shared" si="34"/>
        <v>86.343351156878313</v>
      </c>
    </row>
    <row r="438" spans="1:12" x14ac:dyDescent="0.3">
      <c r="A438" s="4">
        <v>0.15848999999999999</v>
      </c>
      <c r="B438" s="5" t="s">
        <v>22</v>
      </c>
      <c r="C438" s="5">
        <v>90</v>
      </c>
      <c r="D438" s="4">
        <v>86.429000000000002</v>
      </c>
      <c r="E438" s="4">
        <v>33.662999999999997</v>
      </c>
      <c r="F438" s="6">
        <v>0.38949</v>
      </c>
      <c r="G438" s="7">
        <f t="shared" si="30"/>
        <v>-0.79999813459339819</v>
      </c>
      <c r="H438" s="1">
        <v>28.799999999999997</v>
      </c>
      <c r="I438" s="2">
        <f t="shared" si="31"/>
        <v>1.4593924877592308</v>
      </c>
      <c r="J438" s="2">
        <f t="shared" si="32"/>
        <v>0.65939435316583261</v>
      </c>
      <c r="K438" s="1">
        <f t="shared" si="33"/>
        <v>0.21908147026451016</v>
      </c>
      <c r="L438" s="17">
        <f t="shared" si="34"/>
        <v>92.753272772447218</v>
      </c>
    </row>
    <row r="439" spans="1:12" x14ac:dyDescent="0.3">
      <c r="A439" s="4">
        <v>0.19953000000000001</v>
      </c>
      <c r="B439" s="5" t="s">
        <v>22</v>
      </c>
      <c r="C439" s="5">
        <v>90</v>
      </c>
      <c r="D439" s="4">
        <v>92.691999999999993</v>
      </c>
      <c r="E439" s="4">
        <v>34.374000000000002</v>
      </c>
      <c r="F439" s="6">
        <v>0.37084</v>
      </c>
      <c r="G439" s="7">
        <f t="shared" si="30"/>
        <v>-0.69999179744618689</v>
      </c>
      <c r="H439" s="1">
        <v>28.799999999999997</v>
      </c>
      <c r="I439" s="2">
        <f t="shared" si="31"/>
        <v>1.4593924877592308</v>
      </c>
      <c r="J439" s="2">
        <f t="shared" si="32"/>
        <v>0.75940069031304391</v>
      </c>
      <c r="K439" s="1">
        <f t="shared" si="33"/>
        <v>0.17402005824799388</v>
      </c>
      <c r="L439" s="17">
        <f t="shared" si="34"/>
        <v>98.860400262187881</v>
      </c>
    </row>
    <row r="440" spans="1:12" x14ac:dyDescent="0.3">
      <c r="A440" s="4">
        <v>0.25119000000000002</v>
      </c>
      <c r="B440" s="5" t="s">
        <v>22</v>
      </c>
      <c r="C440" s="5">
        <v>90</v>
      </c>
      <c r="D440" s="4">
        <v>99.697999999999993</v>
      </c>
      <c r="E440" s="4">
        <v>35.06</v>
      </c>
      <c r="F440" s="6">
        <v>0.35165999999999997</v>
      </c>
      <c r="G440" s="7">
        <f t="shared" si="30"/>
        <v>-0.59999765407204408</v>
      </c>
      <c r="H440" s="1">
        <v>28.799999999999997</v>
      </c>
      <c r="I440" s="2">
        <f t="shared" si="31"/>
        <v>1.4593924877592308</v>
      </c>
      <c r="J440" s="2">
        <f t="shared" si="32"/>
        <v>0.85939483368718672</v>
      </c>
      <c r="K440" s="1">
        <f t="shared" si="33"/>
        <v>0.13823090975843871</v>
      </c>
      <c r="L440" s="17">
        <f t="shared" si="34"/>
        <v>105.68299202804583</v>
      </c>
    </row>
    <row r="441" spans="1:12" x14ac:dyDescent="0.3">
      <c r="A441" s="4">
        <v>0.31623000000000001</v>
      </c>
      <c r="B441" s="5" t="s">
        <v>22</v>
      </c>
      <c r="C441" s="5">
        <v>90</v>
      </c>
      <c r="D441" s="4">
        <v>106.07</v>
      </c>
      <c r="E441" s="4">
        <v>35.784999999999997</v>
      </c>
      <c r="F441" s="6">
        <v>0.33735999999999999</v>
      </c>
      <c r="G441" s="7">
        <f t="shared" si="30"/>
        <v>-0.4999969319483068</v>
      </c>
      <c r="H441" s="1">
        <v>28.799999999999997</v>
      </c>
      <c r="I441" s="2">
        <f t="shared" si="31"/>
        <v>1.4593924877592308</v>
      </c>
      <c r="J441" s="2">
        <f t="shared" si="32"/>
        <v>0.95939555581092395</v>
      </c>
      <c r="K441" s="1">
        <f t="shared" si="33"/>
        <v>0.10980053196161726</v>
      </c>
      <c r="L441" s="17">
        <f t="shared" si="34"/>
        <v>111.94378555775215</v>
      </c>
    </row>
    <row r="442" spans="1:12" x14ac:dyDescent="0.3">
      <c r="A442" s="4">
        <v>0.39811000000000002</v>
      </c>
      <c r="B442" s="5" t="s">
        <v>22</v>
      </c>
      <c r="C442" s="5">
        <v>90</v>
      </c>
      <c r="D442" s="4">
        <v>111.83</v>
      </c>
      <c r="E442" s="4">
        <v>36.298999999999999</v>
      </c>
      <c r="F442" s="6">
        <v>0.3246</v>
      </c>
      <c r="G442" s="7">
        <f t="shared" si="30"/>
        <v>-0.39999691337225962</v>
      </c>
      <c r="H442" s="1">
        <v>28.799999999999997</v>
      </c>
      <c r="I442" s="2">
        <f t="shared" si="31"/>
        <v>1.4593924877592308</v>
      </c>
      <c r="J442" s="2">
        <f t="shared" si="32"/>
        <v>1.0593955743869712</v>
      </c>
      <c r="K442" s="1">
        <f t="shared" si="33"/>
        <v>8.7217658994303615E-2</v>
      </c>
      <c r="L442" s="17">
        <f t="shared" si="34"/>
        <v>117.57366329667541</v>
      </c>
    </row>
    <row r="443" spans="1:12" x14ac:dyDescent="0.3">
      <c r="A443" s="4">
        <v>0.50119000000000002</v>
      </c>
      <c r="B443" s="5" t="s">
        <v>22</v>
      </c>
      <c r="C443" s="5">
        <v>90</v>
      </c>
      <c r="D443" s="4">
        <v>117.95</v>
      </c>
      <c r="E443" s="4">
        <v>36.969000000000001</v>
      </c>
      <c r="F443" s="6">
        <v>0.31341999999999998</v>
      </c>
      <c r="G443" s="7">
        <f t="shared" si="30"/>
        <v>-0.29999760285774607</v>
      </c>
      <c r="H443" s="1">
        <v>28.799999999999997</v>
      </c>
      <c r="I443" s="2">
        <f t="shared" si="31"/>
        <v>1.4593924877592308</v>
      </c>
      <c r="J443" s="2">
        <f t="shared" si="32"/>
        <v>1.1593948849014848</v>
      </c>
      <c r="K443" s="1">
        <f t="shared" si="33"/>
        <v>6.9279559093801193E-2</v>
      </c>
      <c r="L443" s="17">
        <f t="shared" si="34"/>
        <v>123.60788591752551</v>
      </c>
    </row>
    <row r="444" spans="1:12" x14ac:dyDescent="0.3">
      <c r="A444" s="4">
        <v>0.63095999999999997</v>
      </c>
      <c r="B444" s="5" t="s">
        <v>22</v>
      </c>
      <c r="C444" s="5">
        <v>90</v>
      </c>
      <c r="D444" s="4">
        <v>124.06</v>
      </c>
      <c r="E444" s="4">
        <v>37.427999999999997</v>
      </c>
      <c r="F444" s="6">
        <v>0.30169000000000001</v>
      </c>
      <c r="G444" s="7">
        <f t="shared" si="30"/>
        <v>-0.19999817218203128</v>
      </c>
      <c r="H444" s="1">
        <v>28.799999999999997</v>
      </c>
      <c r="I444" s="2">
        <f t="shared" si="31"/>
        <v>1.4593924877592308</v>
      </c>
      <c r="J444" s="2">
        <f t="shared" si="32"/>
        <v>1.2593943155771996</v>
      </c>
      <c r="K444" s="1">
        <f t="shared" si="33"/>
        <v>5.5030782018229689E-2</v>
      </c>
      <c r="L444" s="17">
        <f t="shared" si="34"/>
        <v>129.58294171687876</v>
      </c>
    </row>
    <row r="445" spans="1:12" x14ac:dyDescent="0.3">
      <c r="A445" s="4">
        <v>0.79432999999999998</v>
      </c>
      <c r="B445" s="5" t="s">
        <v>22</v>
      </c>
      <c r="C445" s="5">
        <v>90</v>
      </c>
      <c r="D445" s="4">
        <v>130.22</v>
      </c>
      <c r="E445" s="4">
        <v>38.034999999999997</v>
      </c>
      <c r="F445" s="6">
        <v>0.29207</v>
      </c>
      <c r="G445" s="7">
        <f t="shared" si="30"/>
        <v>-9.9999034846530471E-2</v>
      </c>
      <c r="H445" s="1">
        <v>28.799999999999997</v>
      </c>
      <c r="I445" s="2">
        <f t="shared" si="31"/>
        <v>1.4593924877592308</v>
      </c>
      <c r="J445" s="2">
        <f t="shared" si="32"/>
        <v>1.3593934529127003</v>
      </c>
      <c r="K445" s="1">
        <f t="shared" si="33"/>
        <v>4.3712590764823464E-2</v>
      </c>
      <c r="L445" s="17">
        <f t="shared" si="34"/>
        <v>135.66100996601787</v>
      </c>
    </row>
    <row r="446" spans="1:12" x14ac:dyDescent="0.3">
      <c r="A446" s="4">
        <v>1</v>
      </c>
      <c r="B446" s="5" t="s">
        <v>22</v>
      </c>
      <c r="C446" s="5">
        <v>90</v>
      </c>
      <c r="D446" s="4">
        <v>136.22</v>
      </c>
      <c r="E446" s="4">
        <v>38.466999999999999</v>
      </c>
      <c r="F446" s="6">
        <v>0.28239999999999998</v>
      </c>
      <c r="G446" s="7">
        <f t="shared" si="30"/>
        <v>0</v>
      </c>
      <c r="H446" s="1">
        <v>28.799999999999997</v>
      </c>
      <c r="I446" s="2">
        <f t="shared" si="31"/>
        <v>1.4593924877592308</v>
      </c>
      <c r="J446" s="2">
        <f t="shared" si="32"/>
        <v>1.4593924877592308</v>
      </c>
      <c r="K446" s="1">
        <f t="shared" si="33"/>
        <v>3.472222222222221E-2</v>
      </c>
      <c r="L446" s="17">
        <f t="shared" si="34"/>
        <v>141.54715994678241</v>
      </c>
    </row>
    <row r="447" spans="1:12" x14ac:dyDescent="0.3">
      <c r="A447" s="4">
        <v>1.2589300000000001</v>
      </c>
      <c r="B447" s="5" t="s">
        <v>22</v>
      </c>
      <c r="C447" s="5">
        <v>90</v>
      </c>
      <c r="D447" s="4">
        <v>142.21</v>
      </c>
      <c r="E447" s="4">
        <v>38.892000000000003</v>
      </c>
      <c r="F447" s="6">
        <v>0.27348</v>
      </c>
      <c r="G447" s="7">
        <f t="shared" si="30"/>
        <v>0.10000158280135207</v>
      </c>
      <c r="H447" s="1">
        <v>28.799999999999997</v>
      </c>
      <c r="I447" s="2">
        <f t="shared" si="31"/>
        <v>1.4593924877592308</v>
      </c>
      <c r="J447" s="2">
        <f t="shared" si="32"/>
        <v>1.5593940705605829</v>
      </c>
      <c r="K447" s="1">
        <f t="shared" si="33"/>
        <v>2.7580740964328606E-2</v>
      </c>
      <c r="L447" s="17">
        <f t="shared" si="34"/>
        <v>147.43226161190094</v>
      </c>
    </row>
    <row r="448" spans="1:12" x14ac:dyDescent="0.3">
      <c r="A448" s="4">
        <v>1.5848899999999999</v>
      </c>
      <c r="B448" s="5" t="s">
        <v>22</v>
      </c>
      <c r="C448" s="5">
        <v>90</v>
      </c>
      <c r="D448" s="4">
        <v>148.26</v>
      </c>
      <c r="E448" s="4">
        <v>39.304000000000002</v>
      </c>
      <c r="F448" s="6">
        <v>0.2651</v>
      </c>
      <c r="G448" s="7">
        <f t="shared" si="30"/>
        <v>0.19999912519679666</v>
      </c>
      <c r="H448" s="1">
        <v>28.799999999999997</v>
      </c>
      <c r="I448" s="2">
        <f t="shared" si="31"/>
        <v>1.4593924877592308</v>
      </c>
      <c r="J448" s="2">
        <f t="shared" si="32"/>
        <v>1.6593916129560276</v>
      </c>
      <c r="K448" s="1">
        <f t="shared" si="33"/>
        <v>2.1908285257792159E-2</v>
      </c>
      <c r="L448" s="17">
        <f t="shared" si="34"/>
        <v>153.38132877244217</v>
      </c>
    </row>
    <row r="449" spans="1:12" x14ac:dyDescent="0.3">
      <c r="A449" s="4">
        <v>1.99526</v>
      </c>
      <c r="B449" s="5" t="s">
        <v>22</v>
      </c>
      <c r="C449" s="5">
        <v>90</v>
      </c>
      <c r="D449" s="4">
        <v>154.27000000000001</v>
      </c>
      <c r="E449" s="4">
        <v>39.597999999999999</v>
      </c>
      <c r="F449" s="6">
        <v>0.25668000000000002</v>
      </c>
      <c r="G449" s="7">
        <f t="shared" si="30"/>
        <v>0.29999949611698379</v>
      </c>
      <c r="H449" s="1">
        <v>28.799999999999997</v>
      </c>
      <c r="I449" s="2">
        <f t="shared" si="31"/>
        <v>1.4593924877592308</v>
      </c>
      <c r="J449" s="2">
        <f t="shared" si="32"/>
        <v>1.7593919838762146</v>
      </c>
      <c r="K449" s="1">
        <f t="shared" si="33"/>
        <v>1.7402354691730501E-2</v>
      </c>
      <c r="L449" s="17">
        <f t="shared" si="34"/>
        <v>159.27094682960859</v>
      </c>
    </row>
    <row r="450" spans="1:12" x14ac:dyDescent="0.3">
      <c r="A450" s="4">
        <v>2.5118900000000002</v>
      </c>
      <c r="B450" s="5" t="s">
        <v>22</v>
      </c>
      <c r="C450" s="5">
        <v>90</v>
      </c>
      <c r="D450" s="4">
        <v>160.19999999999999</v>
      </c>
      <c r="E450" s="4">
        <v>39.841000000000001</v>
      </c>
      <c r="F450" s="6">
        <v>0.2487</v>
      </c>
      <c r="G450" s="7">
        <f t="shared" si="30"/>
        <v>0.40000061697637995</v>
      </c>
      <c r="H450" s="1">
        <v>28.799999999999997</v>
      </c>
      <c r="I450" s="2">
        <f t="shared" si="31"/>
        <v>1.4593924877592308</v>
      </c>
      <c r="J450" s="2">
        <f t="shared" si="32"/>
        <v>1.8593931047356107</v>
      </c>
      <c r="K450" s="1">
        <f t="shared" si="33"/>
        <v>1.3823146006482054E-2</v>
      </c>
      <c r="L450" s="17">
        <f t="shared" si="34"/>
        <v>165.07981488056012</v>
      </c>
    </row>
    <row r="451" spans="1:12" x14ac:dyDescent="0.3">
      <c r="A451" s="4">
        <v>3.16228</v>
      </c>
      <c r="B451" s="5" t="s">
        <v>22</v>
      </c>
      <c r="C451" s="5">
        <v>90</v>
      </c>
      <c r="D451" s="4">
        <v>166.22</v>
      </c>
      <c r="E451" s="4">
        <v>40.145000000000003</v>
      </c>
      <c r="F451" s="6">
        <v>0.24151</v>
      </c>
      <c r="G451" s="7">
        <f t="shared" ref="G451:G514" si="35">LOG(A451)</f>
        <v>0.50000032134293526</v>
      </c>
      <c r="H451" s="1">
        <v>28.799999999999997</v>
      </c>
      <c r="I451" s="2">
        <f t="shared" ref="I451:I514" si="36">LOG(H451)</f>
        <v>1.4593924877592308</v>
      </c>
      <c r="J451" s="2">
        <f t="shared" ref="J451:J514" si="37">G451+I451</f>
        <v>1.959392809102166</v>
      </c>
      <c r="K451" s="1">
        <f t="shared" ref="K451:K514" si="38">1/10^J451</f>
        <v>1.0980122640064201E-2</v>
      </c>
      <c r="L451" s="17">
        <f t="shared" ref="L451:L514" si="39">SQRT(D451^2+E451^2)</f>
        <v>170.99915036338632</v>
      </c>
    </row>
    <row r="452" spans="1:12" x14ac:dyDescent="0.3">
      <c r="A452" s="4">
        <v>3.9810699999999999</v>
      </c>
      <c r="B452" s="5" t="s">
        <v>22</v>
      </c>
      <c r="C452" s="5">
        <v>90</v>
      </c>
      <c r="D452" s="4">
        <v>172.34</v>
      </c>
      <c r="E452" s="4">
        <v>40.405999999999999</v>
      </c>
      <c r="F452" s="6">
        <v>0.23446</v>
      </c>
      <c r="G452" s="7">
        <f t="shared" si="35"/>
        <v>0.59999981394342006</v>
      </c>
      <c r="H452" s="1">
        <v>28.799999999999997</v>
      </c>
      <c r="I452" s="2">
        <f t="shared" si="36"/>
        <v>1.4593924877592308</v>
      </c>
      <c r="J452" s="2">
        <f t="shared" si="37"/>
        <v>2.0593923017026508</v>
      </c>
      <c r="K452" s="1">
        <f t="shared" si="38"/>
        <v>8.7218316237147823E-3</v>
      </c>
      <c r="L452" s="17">
        <f t="shared" si="39"/>
        <v>177.01333406271968</v>
      </c>
    </row>
    <row r="453" spans="1:12" x14ac:dyDescent="0.3">
      <c r="A453" s="4">
        <v>5.01187</v>
      </c>
      <c r="B453" s="5" t="s">
        <v>22</v>
      </c>
      <c r="C453" s="5">
        <v>90</v>
      </c>
      <c r="D453" s="4">
        <v>178.46</v>
      </c>
      <c r="E453" s="4">
        <v>40.621000000000002</v>
      </c>
      <c r="F453" s="6">
        <v>0.22761999999999999</v>
      </c>
      <c r="G453" s="7">
        <f t="shared" si="35"/>
        <v>0.69999979755458241</v>
      </c>
      <c r="H453" s="1">
        <v>28.799999999999997</v>
      </c>
      <c r="I453" s="2">
        <f t="shared" si="36"/>
        <v>1.4593924877592308</v>
      </c>
      <c r="J453" s="2">
        <f t="shared" si="37"/>
        <v>2.159392285313813</v>
      </c>
      <c r="K453" s="1">
        <f t="shared" si="38"/>
        <v>6.9279973786674888E-3</v>
      </c>
      <c r="L453" s="17">
        <f t="shared" si="39"/>
        <v>183.02469024970375</v>
      </c>
    </row>
    <row r="454" spans="1:12" x14ac:dyDescent="0.3">
      <c r="A454" s="4">
        <v>6.3095800000000004</v>
      </c>
      <c r="B454" s="5" t="s">
        <v>22</v>
      </c>
      <c r="C454" s="5">
        <v>90</v>
      </c>
      <c r="D454" s="4">
        <v>184.63</v>
      </c>
      <c r="E454" s="4">
        <v>40.832000000000001</v>
      </c>
      <c r="F454" s="6">
        <v>0.22116</v>
      </c>
      <c r="G454" s="7">
        <f t="shared" si="35"/>
        <v>0.80000045120084495</v>
      </c>
      <c r="H454" s="1">
        <v>28.799999999999997</v>
      </c>
      <c r="I454" s="2">
        <f t="shared" si="36"/>
        <v>1.4593924877592308</v>
      </c>
      <c r="J454" s="2">
        <f t="shared" si="37"/>
        <v>2.259392938960076</v>
      </c>
      <c r="K454" s="1">
        <f t="shared" si="38"/>
        <v>5.503095645387205E-3</v>
      </c>
      <c r="L454" s="17">
        <f t="shared" si="39"/>
        <v>189.0912190557774</v>
      </c>
    </row>
    <row r="455" spans="1:12" x14ac:dyDescent="0.3">
      <c r="A455" s="4">
        <v>7.9432900000000002</v>
      </c>
      <c r="B455" s="5" t="s">
        <v>22</v>
      </c>
      <c r="C455" s="5">
        <v>90</v>
      </c>
      <c r="D455" s="4">
        <v>190.62</v>
      </c>
      <c r="E455" s="4">
        <v>41.061</v>
      </c>
      <c r="F455" s="6">
        <v>0.21540999999999999</v>
      </c>
      <c r="G455" s="7">
        <f t="shared" si="35"/>
        <v>0.90000041840998102</v>
      </c>
      <c r="H455" s="1">
        <v>28.799999999999997</v>
      </c>
      <c r="I455" s="2">
        <f t="shared" si="36"/>
        <v>1.4593924877592308</v>
      </c>
      <c r="J455" s="2">
        <f t="shared" si="37"/>
        <v>2.3593929061692118</v>
      </c>
      <c r="K455" s="1">
        <f t="shared" si="38"/>
        <v>4.3712645795661743E-3</v>
      </c>
      <c r="L455" s="17">
        <f t="shared" si="39"/>
        <v>194.99228220880948</v>
      </c>
    </row>
    <row r="456" spans="1:12" x14ac:dyDescent="0.3">
      <c r="A456" s="4">
        <v>10</v>
      </c>
      <c r="B456" s="5" t="s">
        <v>22</v>
      </c>
      <c r="C456" s="5">
        <v>90</v>
      </c>
      <c r="D456" s="4">
        <v>196.83</v>
      </c>
      <c r="E456" s="4">
        <v>41.232999999999997</v>
      </c>
      <c r="F456" s="6">
        <v>0.20948</v>
      </c>
      <c r="G456" s="7">
        <f t="shared" si="35"/>
        <v>1</v>
      </c>
      <c r="H456" s="1">
        <v>28.799999999999997</v>
      </c>
      <c r="I456" s="2">
        <f t="shared" si="36"/>
        <v>1.4593924877592308</v>
      </c>
      <c r="J456" s="2">
        <f t="shared" si="37"/>
        <v>2.4593924877592306</v>
      </c>
      <c r="K456" s="1">
        <f t="shared" si="38"/>
        <v>3.4722222222222216E-3</v>
      </c>
      <c r="L456" s="17">
        <f t="shared" si="39"/>
        <v>201.10248429345671</v>
      </c>
    </row>
    <row r="457" spans="1:12" x14ac:dyDescent="0.3">
      <c r="A457" s="4">
        <v>12.5893</v>
      </c>
      <c r="B457" s="5" t="s">
        <v>22</v>
      </c>
      <c r="C457" s="5">
        <v>90</v>
      </c>
      <c r="D457" s="4">
        <v>203.24</v>
      </c>
      <c r="E457" s="4">
        <v>41.433</v>
      </c>
      <c r="F457" s="6">
        <v>0.20386000000000001</v>
      </c>
      <c r="G457" s="7">
        <f t="shared" si="35"/>
        <v>1.1000015828013521</v>
      </c>
      <c r="H457" s="1">
        <v>28.799999999999997</v>
      </c>
      <c r="I457" s="2">
        <f t="shared" si="36"/>
        <v>1.4593924877592308</v>
      </c>
      <c r="J457" s="2">
        <f t="shared" si="37"/>
        <v>2.5593940705605829</v>
      </c>
      <c r="K457" s="1">
        <f t="shared" si="38"/>
        <v>2.7580740964328609E-3</v>
      </c>
      <c r="L457" s="17">
        <f t="shared" si="39"/>
        <v>207.42032467672979</v>
      </c>
    </row>
    <row r="458" spans="1:12" x14ac:dyDescent="0.3">
      <c r="A458" s="4">
        <v>15.8489</v>
      </c>
      <c r="B458" s="5" t="s">
        <v>22</v>
      </c>
      <c r="C458" s="5">
        <v>90</v>
      </c>
      <c r="D458" s="4">
        <v>209.64</v>
      </c>
      <c r="E458" s="4">
        <v>41.546999999999997</v>
      </c>
      <c r="F458" s="6">
        <v>0.19818</v>
      </c>
      <c r="G458" s="7">
        <f t="shared" si="35"/>
        <v>1.1999991251967967</v>
      </c>
      <c r="H458" s="1">
        <v>28.799999999999997</v>
      </c>
      <c r="I458" s="2">
        <f t="shared" si="36"/>
        <v>1.4593924877592308</v>
      </c>
      <c r="J458" s="2">
        <f t="shared" si="37"/>
        <v>2.6593916129560276</v>
      </c>
      <c r="K458" s="1">
        <f t="shared" si="38"/>
        <v>2.1908285257792154E-3</v>
      </c>
      <c r="L458" s="17">
        <f t="shared" si="39"/>
        <v>213.71729646661731</v>
      </c>
    </row>
    <row r="459" spans="1:12" x14ac:dyDescent="0.3">
      <c r="A459" s="4">
        <v>19.9526</v>
      </c>
      <c r="B459" s="5" t="s">
        <v>22</v>
      </c>
      <c r="C459" s="5">
        <v>90</v>
      </c>
      <c r="D459" s="4">
        <v>215.95</v>
      </c>
      <c r="E459" s="4">
        <v>41.765999999999998</v>
      </c>
      <c r="F459" s="6">
        <v>0.19341</v>
      </c>
      <c r="G459" s="7">
        <f t="shared" si="35"/>
        <v>1.2999994961169838</v>
      </c>
      <c r="H459" s="1">
        <v>28.799999999999997</v>
      </c>
      <c r="I459" s="2">
        <f t="shared" si="36"/>
        <v>1.4593924877592308</v>
      </c>
      <c r="J459" s="2">
        <f t="shared" si="37"/>
        <v>2.7593919838762146</v>
      </c>
      <c r="K459" s="1">
        <f t="shared" si="38"/>
        <v>1.7402354691730497E-3</v>
      </c>
      <c r="L459" s="17">
        <f t="shared" si="39"/>
        <v>219.95181575972498</v>
      </c>
    </row>
    <row r="460" spans="1:12" x14ac:dyDescent="0.3">
      <c r="A460" s="4">
        <v>25.1189</v>
      </c>
      <c r="B460" s="5" t="s">
        <v>22</v>
      </c>
      <c r="C460" s="5">
        <v>90</v>
      </c>
      <c r="D460" s="4">
        <v>222.17</v>
      </c>
      <c r="E460" s="4">
        <v>41.847000000000001</v>
      </c>
      <c r="F460" s="6">
        <v>0.18836</v>
      </c>
      <c r="G460" s="7">
        <f t="shared" si="35"/>
        <v>1.4000006169763799</v>
      </c>
      <c r="H460" s="1">
        <v>28.799999999999997</v>
      </c>
      <c r="I460" s="2">
        <f t="shared" si="36"/>
        <v>1.4593924877592308</v>
      </c>
      <c r="J460" s="2">
        <f t="shared" si="37"/>
        <v>2.8593931047356107</v>
      </c>
      <c r="K460" s="1">
        <f t="shared" si="38"/>
        <v>1.3823146006482052E-3</v>
      </c>
      <c r="L460" s="17">
        <f t="shared" si="39"/>
        <v>226.07671332757823</v>
      </c>
    </row>
    <row r="461" spans="1:12" x14ac:dyDescent="0.3">
      <c r="A461" s="4">
        <v>31.622800000000002</v>
      </c>
      <c r="B461" s="5" t="s">
        <v>22</v>
      </c>
      <c r="C461" s="5">
        <v>90</v>
      </c>
      <c r="D461" s="4">
        <v>228.28</v>
      </c>
      <c r="E461" s="4">
        <v>42.018000000000001</v>
      </c>
      <c r="F461" s="6">
        <v>0.18406</v>
      </c>
      <c r="G461" s="7">
        <f t="shared" si="35"/>
        <v>1.5000003213429354</v>
      </c>
      <c r="H461" s="1">
        <v>28.799999999999997</v>
      </c>
      <c r="I461" s="2">
        <f t="shared" si="36"/>
        <v>1.4593924877592308</v>
      </c>
      <c r="J461" s="2">
        <f t="shared" si="37"/>
        <v>2.959392809102166</v>
      </c>
      <c r="K461" s="1">
        <f t="shared" si="38"/>
        <v>1.09801226400642E-3</v>
      </c>
      <c r="L461" s="17">
        <f t="shared" si="39"/>
        <v>232.11477920201463</v>
      </c>
    </row>
    <row r="462" spans="1:12" x14ac:dyDescent="0.3">
      <c r="A462" s="4">
        <v>39.810699999999997</v>
      </c>
      <c r="B462" s="5" t="s">
        <v>22</v>
      </c>
      <c r="C462" s="5">
        <v>90</v>
      </c>
      <c r="D462" s="4">
        <v>234.41</v>
      </c>
      <c r="E462" s="4">
        <v>42.093000000000004</v>
      </c>
      <c r="F462" s="6">
        <v>0.17957000000000001</v>
      </c>
      <c r="G462" s="7">
        <f t="shared" si="35"/>
        <v>1.5999998139434199</v>
      </c>
      <c r="H462" s="1">
        <v>28.799999999999997</v>
      </c>
      <c r="I462" s="2">
        <f t="shared" si="36"/>
        <v>1.4593924877592308</v>
      </c>
      <c r="J462" s="2">
        <f t="shared" si="37"/>
        <v>3.0593923017026508</v>
      </c>
      <c r="K462" s="1">
        <f t="shared" si="38"/>
        <v>8.7218316237147803E-4</v>
      </c>
      <c r="L462" s="17">
        <f t="shared" si="39"/>
        <v>238.15933479290709</v>
      </c>
    </row>
    <row r="463" spans="1:12" x14ac:dyDescent="0.3">
      <c r="A463" s="4">
        <v>50.1188</v>
      </c>
      <c r="B463" s="5" t="s">
        <v>22</v>
      </c>
      <c r="C463" s="5">
        <v>90</v>
      </c>
      <c r="D463" s="4">
        <v>240.46</v>
      </c>
      <c r="E463" s="4">
        <v>42.182000000000002</v>
      </c>
      <c r="F463" s="6">
        <v>0.17541999999999999</v>
      </c>
      <c r="G463" s="7">
        <f t="shared" si="35"/>
        <v>1.7000006640855352</v>
      </c>
      <c r="H463" s="1">
        <v>28.799999999999997</v>
      </c>
      <c r="I463" s="2">
        <f t="shared" si="36"/>
        <v>1.4593924877592308</v>
      </c>
      <c r="J463" s="2">
        <f t="shared" si="37"/>
        <v>3.1593931518447658</v>
      </c>
      <c r="K463" s="1">
        <f t="shared" si="38"/>
        <v>6.9279835555165334E-4</v>
      </c>
      <c r="L463" s="17">
        <f t="shared" si="39"/>
        <v>244.13179375902683</v>
      </c>
    </row>
    <row r="464" spans="1:12" x14ac:dyDescent="0.3">
      <c r="A464" s="4">
        <v>63.095799999999997</v>
      </c>
      <c r="B464" s="5" t="s">
        <v>22</v>
      </c>
      <c r="C464" s="5">
        <v>90</v>
      </c>
      <c r="D464" s="4">
        <v>246.49</v>
      </c>
      <c r="E464" s="4">
        <v>42.295000000000002</v>
      </c>
      <c r="F464" s="6">
        <v>0.17158999999999999</v>
      </c>
      <c r="G464" s="7">
        <f t="shared" si="35"/>
        <v>1.800000451200845</v>
      </c>
      <c r="H464" s="1">
        <v>28.799999999999997</v>
      </c>
      <c r="I464" s="2">
        <f t="shared" si="36"/>
        <v>1.4593924877592308</v>
      </c>
      <c r="J464" s="2">
        <f t="shared" si="37"/>
        <v>3.259392938960076</v>
      </c>
      <c r="K464" s="1">
        <f t="shared" si="38"/>
        <v>5.5030956453872037E-4</v>
      </c>
      <c r="L464" s="17">
        <f t="shared" si="39"/>
        <v>250.0923571902988</v>
      </c>
    </row>
    <row r="465" spans="1:12" x14ac:dyDescent="0.3">
      <c r="A465" s="4">
        <v>79.432900000000004</v>
      </c>
      <c r="B465" s="5" t="s">
        <v>22</v>
      </c>
      <c r="C465" s="5">
        <v>90</v>
      </c>
      <c r="D465" s="4">
        <v>252.73</v>
      </c>
      <c r="E465" s="4">
        <v>42.390999999999998</v>
      </c>
      <c r="F465" s="6">
        <v>0.16772999999999999</v>
      </c>
      <c r="G465" s="7">
        <f t="shared" si="35"/>
        <v>1.900000418409981</v>
      </c>
      <c r="H465" s="1">
        <v>28.799999999999997</v>
      </c>
      <c r="I465" s="2">
        <f t="shared" si="36"/>
        <v>1.4593924877592308</v>
      </c>
      <c r="J465" s="2">
        <f t="shared" si="37"/>
        <v>3.3593929061692118</v>
      </c>
      <c r="K465" s="1">
        <f t="shared" si="38"/>
        <v>4.3712645795661732E-4</v>
      </c>
      <c r="L465" s="17">
        <f t="shared" si="39"/>
        <v>256.26051155220932</v>
      </c>
    </row>
    <row r="466" spans="1:12" x14ac:dyDescent="0.3">
      <c r="A466" s="4">
        <v>100</v>
      </c>
      <c r="B466" s="5" t="s">
        <v>22</v>
      </c>
      <c r="C466" s="5">
        <v>90</v>
      </c>
      <c r="D466" s="4">
        <v>258.8</v>
      </c>
      <c r="E466" s="4">
        <v>42.348999999999997</v>
      </c>
      <c r="F466" s="6">
        <v>0.16364000000000001</v>
      </c>
      <c r="G466" s="7">
        <f t="shared" si="35"/>
        <v>2</v>
      </c>
      <c r="H466" s="1">
        <v>28.799999999999997</v>
      </c>
      <c r="I466" s="2">
        <f t="shared" si="36"/>
        <v>1.4593924877592308</v>
      </c>
      <c r="J466" s="2">
        <f t="shared" si="37"/>
        <v>3.4593924877592306</v>
      </c>
      <c r="K466" s="1">
        <f t="shared" si="38"/>
        <v>3.4722222222222213E-4</v>
      </c>
      <c r="L466" s="17">
        <f t="shared" si="39"/>
        <v>262.24202142486621</v>
      </c>
    </row>
    <row r="467" spans="1:12" x14ac:dyDescent="0.3">
      <c r="A467" s="9">
        <v>0.1</v>
      </c>
      <c r="B467" s="10" t="s">
        <v>23</v>
      </c>
      <c r="C467" s="5">
        <v>100</v>
      </c>
      <c r="D467" s="9">
        <v>24.742000000000001</v>
      </c>
      <c r="E467" s="9">
        <v>12.948</v>
      </c>
      <c r="F467" s="11">
        <v>0.52332000000000001</v>
      </c>
      <c r="G467" s="12">
        <f t="shared" si="35"/>
        <v>-1</v>
      </c>
      <c r="H467" s="1">
        <v>1</v>
      </c>
      <c r="I467" s="2">
        <f t="shared" si="36"/>
        <v>0</v>
      </c>
      <c r="J467" s="2">
        <f t="shared" si="37"/>
        <v>-1</v>
      </c>
      <c r="K467" s="1">
        <f t="shared" si="38"/>
        <v>10</v>
      </c>
      <c r="L467" s="17">
        <f t="shared" si="39"/>
        <v>27.925208468335558</v>
      </c>
    </row>
    <row r="468" spans="1:12" x14ac:dyDescent="0.3">
      <c r="A468" s="9">
        <v>0.12589</v>
      </c>
      <c r="B468" s="10" t="s">
        <v>23</v>
      </c>
      <c r="C468" s="5">
        <v>100</v>
      </c>
      <c r="D468" s="9">
        <v>26.524999999999999</v>
      </c>
      <c r="E468" s="9">
        <v>13.6</v>
      </c>
      <c r="F468" s="11">
        <v>0.51273000000000002</v>
      </c>
      <c r="G468" s="12">
        <f t="shared" si="35"/>
        <v>-0.90000876645531558</v>
      </c>
      <c r="H468" s="1">
        <v>1</v>
      </c>
      <c r="I468" s="2">
        <f t="shared" si="36"/>
        <v>0</v>
      </c>
      <c r="J468" s="2">
        <f t="shared" si="37"/>
        <v>-0.90000876645531558</v>
      </c>
      <c r="K468" s="1">
        <f t="shared" si="38"/>
        <v>7.9434426880610074</v>
      </c>
      <c r="L468" s="17">
        <f t="shared" si="39"/>
        <v>29.808314695735483</v>
      </c>
    </row>
    <row r="469" spans="1:12" x14ac:dyDescent="0.3">
      <c r="A469" s="9">
        <v>0.15848999999999999</v>
      </c>
      <c r="B469" s="10" t="s">
        <v>23</v>
      </c>
      <c r="C469" s="5">
        <v>100</v>
      </c>
      <c r="D469" s="9">
        <v>28.934000000000001</v>
      </c>
      <c r="E469" s="9">
        <v>14.672000000000001</v>
      </c>
      <c r="F469" s="11">
        <v>0.50709000000000004</v>
      </c>
      <c r="G469" s="12">
        <f t="shared" si="35"/>
        <v>-0.79999813459339819</v>
      </c>
      <c r="H469" s="1">
        <v>1</v>
      </c>
      <c r="I469" s="2">
        <f t="shared" si="36"/>
        <v>0</v>
      </c>
      <c r="J469" s="2">
        <f t="shared" si="37"/>
        <v>-0.79999813459339819</v>
      </c>
      <c r="K469" s="1">
        <f t="shared" si="38"/>
        <v>6.3095463436178942</v>
      </c>
      <c r="L469" s="17">
        <f t="shared" si="39"/>
        <v>32.441392386887465</v>
      </c>
    </row>
    <row r="470" spans="1:12" x14ac:dyDescent="0.3">
      <c r="A470" s="9">
        <v>0.19953000000000001</v>
      </c>
      <c r="B470" s="10" t="s">
        <v>23</v>
      </c>
      <c r="C470" s="5">
        <v>100</v>
      </c>
      <c r="D470" s="9">
        <v>31.670999999999999</v>
      </c>
      <c r="E470" s="9">
        <v>15.846</v>
      </c>
      <c r="F470" s="11">
        <v>0.50033000000000005</v>
      </c>
      <c r="G470" s="12">
        <f t="shared" si="35"/>
        <v>-0.69999179744618689</v>
      </c>
      <c r="H470" s="1">
        <v>1</v>
      </c>
      <c r="I470" s="2">
        <f t="shared" si="36"/>
        <v>0</v>
      </c>
      <c r="J470" s="2">
        <f t="shared" si="37"/>
        <v>-0.69999179744618689</v>
      </c>
      <c r="K470" s="1">
        <f t="shared" si="38"/>
        <v>5.0117776775422245</v>
      </c>
      <c r="L470" s="17">
        <f t="shared" si="39"/>
        <v>35.413951445722631</v>
      </c>
    </row>
    <row r="471" spans="1:12" x14ac:dyDescent="0.3">
      <c r="A471" s="9">
        <v>0.25119000000000002</v>
      </c>
      <c r="B471" s="10" t="s">
        <v>23</v>
      </c>
      <c r="C471" s="5">
        <v>100</v>
      </c>
      <c r="D471" s="9">
        <v>34.381</v>
      </c>
      <c r="E471" s="9">
        <v>16.899999999999999</v>
      </c>
      <c r="F471" s="11">
        <v>0.49153999999999998</v>
      </c>
      <c r="G471" s="12">
        <f t="shared" si="35"/>
        <v>-0.59999765407204408</v>
      </c>
      <c r="H471" s="1">
        <v>1</v>
      </c>
      <c r="I471" s="2">
        <f t="shared" si="36"/>
        <v>0</v>
      </c>
      <c r="J471" s="2">
        <f t="shared" si="37"/>
        <v>-0.59999765407204408</v>
      </c>
      <c r="K471" s="1">
        <f t="shared" si="38"/>
        <v>3.9810502010430358</v>
      </c>
      <c r="L471" s="17">
        <f t="shared" si="39"/>
        <v>38.310092155984172</v>
      </c>
    </row>
    <row r="472" spans="1:12" x14ac:dyDescent="0.3">
      <c r="A472" s="9">
        <v>0.31623000000000001</v>
      </c>
      <c r="B472" s="10" t="s">
        <v>23</v>
      </c>
      <c r="C472" s="5">
        <v>100</v>
      </c>
      <c r="D472" s="9">
        <v>37.043999999999997</v>
      </c>
      <c r="E472" s="9">
        <v>17.966000000000001</v>
      </c>
      <c r="F472" s="11">
        <v>0.48498999999999998</v>
      </c>
      <c r="G472" s="12">
        <f t="shared" si="35"/>
        <v>-0.4999969319483068</v>
      </c>
      <c r="H472" s="1">
        <v>1</v>
      </c>
      <c r="I472" s="2">
        <f t="shared" si="36"/>
        <v>0</v>
      </c>
      <c r="J472" s="2">
        <f t="shared" si="37"/>
        <v>-0.4999969319483068</v>
      </c>
      <c r="K472" s="1">
        <f t="shared" si="38"/>
        <v>3.1622553204945771</v>
      </c>
      <c r="L472" s="17">
        <f t="shared" si="39"/>
        <v>41.170803878476796</v>
      </c>
    </row>
    <row r="473" spans="1:12" x14ac:dyDescent="0.3">
      <c r="A473" s="9">
        <v>0.39811000000000002</v>
      </c>
      <c r="B473" s="10" t="s">
        <v>23</v>
      </c>
      <c r="C473" s="5">
        <v>100</v>
      </c>
      <c r="D473" s="9">
        <v>40.185000000000002</v>
      </c>
      <c r="E473" s="9">
        <v>19.22</v>
      </c>
      <c r="F473" s="11">
        <v>0.47828999999999999</v>
      </c>
      <c r="G473" s="12">
        <f t="shared" si="35"/>
        <v>-0.39999691337225962</v>
      </c>
      <c r="H473" s="1">
        <v>1</v>
      </c>
      <c r="I473" s="2">
        <f t="shared" si="36"/>
        <v>0</v>
      </c>
      <c r="J473" s="2">
        <f t="shared" si="37"/>
        <v>-0.39999691337225962</v>
      </c>
      <c r="K473" s="1">
        <f t="shared" si="38"/>
        <v>2.5118685790359452</v>
      </c>
      <c r="L473" s="17">
        <f t="shared" si="39"/>
        <v>44.54483836540436</v>
      </c>
    </row>
    <row r="474" spans="1:12" x14ac:dyDescent="0.3">
      <c r="A474" s="9">
        <v>0.50119000000000002</v>
      </c>
      <c r="B474" s="10" t="s">
        <v>23</v>
      </c>
      <c r="C474" s="5">
        <v>100</v>
      </c>
      <c r="D474" s="9">
        <v>43.411999999999999</v>
      </c>
      <c r="E474" s="9">
        <v>20.373999999999999</v>
      </c>
      <c r="F474" s="11">
        <v>0.46932000000000001</v>
      </c>
      <c r="G474" s="12">
        <f t="shared" si="35"/>
        <v>-0.29999760285774607</v>
      </c>
      <c r="H474" s="1">
        <v>1</v>
      </c>
      <c r="I474" s="2">
        <f t="shared" si="36"/>
        <v>0</v>
      </c>
      <c r="J474" s="2">
        <f t="shared" si="37"/>
        <v>-0.29999760285774607</v>
      </c>
      <c r="K474" s="1">
        <f t="shared" si="38"/>
        <v>1.9952513019014744</v>
      </c>
      <c r="L474" s="17">
        <f t="shared" si="39"/>
        <v>47.955204305685108</v>
      </c>
    </row>
    <row r="475" spans="1:12" x14ac:dyDescent="0.3">
      <c r="A475" s="9">
        <v>0.63095999999999997</v>
      </c>
      <c r="B475" s="10" t="s">
        <v>23</v>
      </c>
      <c r="C475" s="5">
        <v>100</v>
      </c>
      <c r="D475" s="9">
        <v>46.624000000000002</v>
      </c>
      <c r="E475" s="9">
        <v>21.516999999999999</v>
      </c>
      <c r="F475" s="11">
        <v>0.46150000000000002</v>
      </c>
      <c r="G475" s="12">
        <f t="shared" si="35"/>
        <v>-0.19999817218203128</v>
      </c>
      <c r="H475" s="1">
        <v>1</v>
      </c>
      <c r="I475" s="2">
        <f t="shared" si="36"/>
        <v>0</v>
      </c>
      <c r="J475" s="2">
        <f t="shared" si="37"/>
        <v>-0.19999817218203128</v>
      </c>
      <c r="K475" s="1">
        <f t="shared" si="38"/>
        <v>1.5848865221250159</v>
      </c>
      <c r="L475" s="17">
        <f t="shared" si="39"/>
        <v>51.349573172520145</v>
      </c>
    </row>
    <row r="476" spans="1:12" x14ac:dyDescent="0.3">
      <c r="A476" s="9">
        <v>0.79432999999999998</v>
      </c>
      <c r="B476" s="10" t="s">
        <v>23</v>
      </c>
      <c r="C476" s="5">
        <v>100</v>
      </c>
      <c r="D476" s="9">
        <v>50.085000000000001</v>
      </c>
      <c r="E476" s="9">
        <v>22.686</v>
      </c>
      <c r="F476" s="11">
        <v>0.45295000000000002</v>
      </c>
      <c r="G476" s="12">
        <f t="shared" si="35"/>
        <v>-9.9999034846530471E-2</v>
      </c>
      <c r="H476" s="1">
        <v>1</v>
      </c>
      <c r="I476" s="2">
        <f t="shared" si="36"/>
        <v>0</v>
      </c>
      <c r="J476" s="2">
        <f t="shared" si="37"/>
        <v>-9.9999034846530471E-2</v>
      </c>
      <c r="K476" s="1">
        <f t="shared" si="38"/>
        <v>1.2589226140269159</v>
      </c>
      <c r="L476" s="17">
        <f t="shared" si="39"/>
        <v>54.983286742427467</v>
      </c>
    </row>
    <row r="477" spans="1:12" x14ac:dyDescent="0.3">
      <c r="A477" s="9">
        <v>1</v>
      </c>
      <c r="B477" s="10" t="s">
        <v>23</v>
      </c>
      <c r="C477" s="5">
        <v>100</v>
      </c>
      <c r="D477" s="9">
        <v>53.843000000000004</v>
      </c>
      <c r="E477" s="9">
        <v>23.896000000000001</v>
      </c>
      <c r="F477" s="11">
        <v>0.44379999999999997</v>
      </c>
      <c r="G477" s="12">
        <f t="shared" si="35"/>
        <v>0</v>
      </c>
      <c r="H477" s="1">
        <v>1</v>
      </c>
      <c r="I477" s="2">
        <f t="shared" si="36"/>
        <v>0</v>
      </c>
      <c r="J477" s="2">
        <f t="shared" si="37"/>
        <v>0</v>
      </c>
      <c r="K477" s="1">
        <f t="shared" si="38"/>
        <v>1</v>
      </c>
      <c r="L477" s="17">
        <f t="shared" si="39"/>
        <v>58.907448298156666</v>
      </c>
    </row>
    <row r="478" spans="1:12" x14ac:dyDescent="0.3">
      <c r="A478" s="9">
        <v>1.2589300000000001</v>
      </c>
      <c r="B478" s="10" t="s">
        <v>23</v>
      </c>
      <c r="C478" s="5">
        <v>100</v>
      </c>
      <c r="D478" s="9">
        <v>57.594000000000001</v>
      </c>
      <c r="E478" s="9">
        <v>25.027999999999999</v>
      </c>
      <c r="F478" s="11">
        <v>0.43456</v>
      </c>
      <c r="G478" s="12">
        <f t="shared" si="35"/>
        <v>0.10000158280135207</v>
      </c>
      <c r="H478" s="1">
        <v>1</v>
      </c>
      <c r="I478" s="2">
        <f t="shared" si="36"/>
        <v>0</v>
      </c>
      <c r="J478" s="2">
        <f t="shared" si="37"/>
        <v>0.10000158280135207</v>
      </c>
      <c r="K478" s="1">
        <f t="shared" si="38"/>
        <v>0.79432533977266406</v>
      </c>
      <c r="L478" s="17">
        <f t="shared" si="39"/>
        <v>62.797051045411358</v>
      </c>
    </row>
    <row r="479" spans="1:12" x14ac:dyDescent="0.3">
      <c r="A479" s="9">
        <v>1.5848899999999999</v>
      </c>
      <c r="B479" s="10" t="s">
        <v>23</v>
      </c>
      <c r="C479" s="5">
        <v>100</v>
      </c>
      <c r="D479" s="9">
        <v>61.521000000000001</v>
      </c>
      <c r="E479" s="9">
        <v>26.163</v>
      </c>
      <c r="F479" s="11">
        <v>0.42526000000000003</v>
      </c>
      <c r="G479" s="12">
        <f t="shared" si="35"/>
        <v>0.19999912519679666</v>
      </c>
      <c r="H479" s="1">
        <v>1</v>
      </c>
      <c r="I479" s="2">
        <f t="shared" si="36"/>
        <v>0</v>
      </c>
      <c r="J479" s="2">
        <f t="shared" si="37"/>
        <v>0.19999912519679666</v>
      </c>
      <c r="K479" s="1">
        <f t="shared" si="38"/>
        <v>0.63095861542441434</v>
      </c>
      <c r="L479" s="17">
        <f t="shared" si="39"/>
        <v>66.853092748204247</v>
      </c>
    </row>
    <row r="480" spans="1:12" x14ac:dyDescent="0.3">
      <c r="A480" s="9">
        <v>1.99526</v>
      </c>
      <c r="B480" s="10" t="s">
        <v>23</v>
      </c>
      <c r="C480" s="5">
        <v>100</v>
      </c>
      <c r="D480" s="9">
        <v>65.504999999999995</v>
      </c>
      <c r="E480" s="9">
        <v>27.277999999999999</v>
      </c>
      <c r="F480" s="11">
        <v>0.41643000000000002</v>
      </c>
      <c r="G480" s="12">
        <f t="shared" si="35"/>
        <v>0.29999949611698379</v>
      </c>
      <c r="H480" s="1">
        <v>1</v>
      </c>
      <c r="I480" s="2">
        <f t="shared" si="36"/>
        <v>0</v>
      </c>
      <c r="J480" s="2">
        <f t="shared" si="37"/>
        <v>0.29999949611698379</v>
      </c>
      <c r="K480" s="1">
        <f t="shared" si="38"/>
        <v>0.50118781512183874</v>
      </c>
      <c r="L480" s="17">
        <f t="shared" si="39"/>
        <v>70.957693797078832</v>
      </c>
    </row>
    <row r="481" spans="1:12" x14ac:dyDescent="0.3">
      <c r="A481" s="9">
        <v>2.5118900000000002</v>
      </c>
      <c r="B481" s="10" t="s">
        <v>23</v>
      </c>
      <c r="C481" s="5">
        <v>100</v>
      </c>
      <c r="D481" s="9">
        <v>69.784999999999997</v>
      </c>
      <c r="E481" s="9">
        <v>28.367999999999999</v>
      </c>
      <c r="F481" s="11">
        <v>0.40650999999999998</v>
      </c>
      <c r="G481" s="12">
        <f t="shared" si="35"/>
        <v>0.40000061697637995</v>
      </c>
      <c r="H481" s="1">
        <v>1</v>
      </c>
      <c r="I481" s="2">
        <f t="shared" si="36"/>
        <v>0</v>
      </c>
      <c r="J481" s="2">
        <f t="shared" si="37"/>
        <v>0.40000061697637995</v>
      </c>
      <c r="K481" s="1">
        <f t="shared" si="38"/>
        <v>0.39810660498668321</v>
      </c>
      <c r="L481" s="17">
        <f t="shared" si="39"/>
        <v>75.330535966498999</v>
      </c>
    </row>
    <row r="482" spans="1:12" x14ac:dyDescent="0.3">
      <c r="A482" s="9">
        <v>3.16228</v>
      </c>
      <c r="B482" s="10" t="s">
        <v>23</v>
      </c>
      <c r="C482" s="5">
        <v>100</v>
      </c>
      <c r="D482" s="9">
        <v>74.066000000000003</v>
      </c>
      <c r="E482" s="9">
        <v>29.420999999999999</v>
      </c>
      <c r="F482" s="11">
        <v>0.39722000000000002</v>
      </c>
      <c r="G482" s="12">
        <f t="shared" si="35"/>
        <v>0.50000032134293526</v>
      </c>
      <c r="H482" s="1">
        <v>1</v>
      </c>
      <c r="I482" s="2">
        <f t="shared" si="36"/>
        <v>0</v>
      </c>
      <c r="J482" s="2">
        <f t="shared" si="37"/>
        <v>0.50000032134293526</v>
      </c>
      <c r="K482" s="1">
        <f t="shared" si="38"/>
        <v>0.31622753203384901</v>
      </c>
      <c r="L482" s="17">
        <f t="shared" si="39"/>
        <v>79.695467857338045</v>
      </c>
    </row>
    <row r="483" spans="1:12" x14ac:dyDescent="0.3">
      <c r="A483" s="9">
        <v>3.9810699999999999</v>
      </c>
      <c r="B483" s="10" t="s">
        <v>23</v>
      </c>
      <c r="C483" s="5">
        <v>100</v>
      </c>
      <c r="D483" s="9">
        <v>78.521000000000001</v>
      </c>
      <c r="E483" s="9">
        <v>30.5</v>
      </c>
      <c r="F483" s="11">
        <v>0.38843</v>
      </c>
      <c r="G483" s="12">
        <f t="shared" si="35"/>
        <v>0.59999981394342006</v>
      </c>
      <c r="H483" s="1">
        <v>1</v>
      </c>
      <c r="I483" s="2">
        <f t="shared" si="36"/>
        <v>0</v>
      </c>
      <c r="J483" s="2">
        <f t="shared" si="37"/>
        <v>0.59999981394342006</v>
      </c>
      <c r="K483" s="1">
        <f t="shared" si="38"/>
        <v>0.2511887507629858</v>
      </c>
      <c r="L483" s="17">
        <f t="shared" si="39"/>
        <v>84.236556440775757</v>
      </c>
    </row>
    <row r="484" spans="1:12" x14ac:dyDescent="0.3">
      <c r="A484" s="9">
        <v>5.01187</v>
      </c>
      <c r="B484" s="10" t="s">
        <v>23</v>
      </c>
      <c r="C484" s="5">
        <v>100</v>
      </c>
      <c r="D484" s="9">
        <v>83.106999999999999</v>
      </c>
      <c r="E484" s="9">
        <v>31.513999999999999</v>
      </c>
      <c r="F484" s="11">
        <v>0.37919999999999998</v>
      </c>
      <c r="G484" s="12">
        <f t="shared" si="35"/>
        <v>0.69999979755458241</v>
      </c>
      <c r="H484" s="1">
        <v>1</v>
      </c>
      <c r="I484" s="2">
        <f t="shared" si="36"/>
        <v>0</v>
      </c>
      <c r="J484" s="2">
        <f t="shared" si="37"/>
        <v>0.69999979755458241</v>
      </c>
      <c r="K484" s="1">
        <f t="shared" si="38"/>
        <v>0.1995263245056236</v>
      </c>
      <c r="L484" s="17">
        <f t="shared" si="39"/>
        <v>88.88141338322653</v>
      </c>
    </row>
    <row r="485" spans="1:12" x14ac:dyDescent="0.3">
      <c r="A485" s="9">
        <v>6.3095800000000004</v>
      </c>
      <c r="B485" s="10" t="s">
        <v>23</v>
      </c>
      <c r="C485" s="5">
        <v>100</v>
      </c>
      <c r="D485" s="9">
        <v>88.046999999999997</v>
      </c>
      <c r="E485" s="9">
        <v>32.524999999999999</v>
      </c>
      <c r="F485" s="11">
        <v>0.36940000000000001</v>
      </c>
      <c r="G485" s="12">
        <f t="shared" si="35"/>
        <v>0.80000045120084495</v>
      </c>
      <c r="H485" s="1">
        <v>1</v>
      </c>
      <c r="I485" s="2">
        <f t="shared" si="36"/>
        <v>0</v>
      </c>
      <c r="J485" s="2">
        <f t="shared" si="37"/>
        <v>0.80000045120084495</v>
      </c>
      <c r="K485" s="1">
        <f t="shared" si="38"/>
        <v>0.15848915458715157</v>
      </c>
      <c r="L485" s="17">
        <f t="shared" si="39"/>
        <v>93.862398403194447</v>
      </c>
    </row>
    <row r="486" spans="1:12" x14ac:dyDescent="0.3">
      <c r="A486" s="9">
        <v>7.9432900000000002</v>
      </c>
      <c r="B486" s="10" t="s">
        <v>23</v>
      </c>
      <c r="C486" s="5">
        <v>100</v>
      </c>
      <c r="D486" s="9">
        <v>93.177999999999997</v>
      </c>
      <c r="E486" s="9">
        <v>33.548999999999999</v>
      </c>
      <c r="F486" s="11">
        <v>0.36004999999999998</v>
      </c>
      <c r="G486" s="12">
        <f t="shared" si="35"/>
        <v>0.90000041840998102</v>
      </c>
      <c r="H486" s="1">
        <v>1</v>
      </c>
      <c r="I486" s="2">
        <f t="shared" si="36"/>
        <v>0</v>
      </c>
      <c r="J486" s="2">
        <f t="shared" si="37"/>
        <v>0.90000041840998102</v>
      </c>
      <c r="K486" s="1">
        <f t="shared" si="38"/>
        <v>0.12589241989150587</v>
      </c>
      <c r="L486" s="17">
        <f t="shared" si="39"/>
        <v>99.033706812377773</v>
      </c>
    </row>
    <row r="487" spans="1:12" x14ac:dyDescent="0.3">
      <c r="A487" s="9">
        <v>10</v>
      </c>
      <c r="B487" s="10" t="s">
        <v>23</v>
      </c>
      <c r="C487" s="5">
        <v>100</v>
      </c>
      <c r="D487" s="9">
        <v>98.412999999999997</v>
      </c>
      <c r="E487" s="9">
        <v>34.527999999999999</v>
      </c>
      <c r="F487" s="11">
        <v>0.35085</v>
      </c>
      <c r="G487" s="12">
        <f t="shared" si="35"/>
        <v>1</v>
      </c>
      <c r="H487" s="1">
        <v>1</v>
      </c>
      <c r="I487" s="2">
        <f t="shared" si="36"/>
        <v>0</v>
      </c>
      <c r="J487" s="2">
        <f t="shared" si="37"/>
        <v>1</v>
      </c>
      <c r="K487" s="1">
        <f t="shared" si="38"/>
        <v>0.1</v>
      </c>
      <c r="L487" s="17">
        <f t="shared" si="39"/>
        <v>104.29430163244778</v>
      </c>
    </row>
    <row r="488" spans="1:12" x14ac:dyDescent="0.3">
      <c r="A488" s="9">
        <v>12.5893</v>
      </c>
      <c r="B488" s="10" t="s">
        <v>23</v>
      </c>
      <c r="C488" s="5">
        <v>100</v>
      </c>
      <c r="D488" s="9">
        <v>103.78</v>
      </c>
      <c r="E488" s="9">
        <v>35.430999999999997</v>
      </c>
      <c r="F488" s="11">
        <v>0.34139999999999998</v>
      </c>
      <c r="G488" s="12">
        <f t="shared" si="35"/>
        <v>1.1000015828013521</v>
      </c>
      <c r="H488" s="1">
        <v>1</v>
      </c>
      <c r="I488" s="2">
        <f t="shared" si="36"/>
        <v>0</v>
      </c>
      <c r="J488" s="2">
        <f t="shared" si="37"/>
        <v>1.1000015828013521</v>
      </c>
      <c r="K488" s="1">
        <f t="shared" si="38"/>
        <v>7.9432533977266406E-2</v>
      </c>
      <c r="L488" s="17">
        <f t="shared" si="39"/>
        <v>109.66149807931679</v>
      </c>
    </row>
    <row r="489" spans="1:12" x14ac:dyDescent="0.3">
      <c r="A489" s="9">
        <v>15.8489</v>
      </c>
      <c r="B489" s="10" t="s">
        <v>23</v>
      </c>
      <c r="C489" s="5">
        <v>100</v>
      </c>
      <c r="D489" s="9">
        <v>109.17</v>
      </c>
      <c r="E489" s="9">
        <v>36.31</v>
      </c>
      <c r="F489" s="11">
        <v>0.33260000000000001</v>
      </c>
      <c r="G489" s="12">
        <f t="shared" si="35"/>
        <v>1.1999991251967967</v>
      </c>
      <c r="H489" s="1">
        <v>1</v>
      </c>
      <c r="I489" s="2">
        <f t="shared" si="36"/>
        <v>0</v>
      </c>
      <c r="J489" s="2">
        <f t="shared" si="37"/>
        <v>1.1999991251967967</v>
      </c>
      <c r="K489" s="1">
        <f t="shared" si="38"/>
        <v>6.30958615424414E-2</v>
      </c>
      <c r="L489" s="17">
        <f t="shared" si="39"/>
        <v>115.05001086484087</v>
      </c>
    </row>
    <row r="490" spans="1:12" x14ac:dyDescent="0.3">
      <c r="A490" s="9">
        <v>19.9526</v>
      </c>
      <c r="B490" s="10" t="s">
        <v>23</v>
      </c>
      <c r="C490" s="5">
        <v>100</v>
      </c>
      <c r="D490" s="9">
        <v>114.57</v>
      </c>
      <c r="E490" s="9">
        <v>37.167000000000002</v>
      </c>
      <c r="F490" s="11">
        <v>0.32441999999999999</v>
      </c>
      <c r="G490" s="12">
        <f t="shared" si="35"/>
        <v>1.2999994961169838</v>
      </c>
      <c r="H490" s="1">
        <v>1</v>
      </c>
      <c r="I490" s="2">
        <f t="shared" si="36"/>
        <v>0</v>
      </c>
      <c r="J490" s="2">
        <f t="shared" si="37"/>
        <v>1.2999994961169838</v>
      </c>
      <c r="K490" s="1">
        <f t="shared" si="38"/>
        <v>5.0118781512183845E-2</v>
      </c>
      <c r="L490" s="17">
        <f t="shared" si="39"/>
        <v>120.44779279422268</v>
      </c>
    </row>
    <row r="491" spans="1:12" x14ac:dyDescent="0.3">
      <c r="A491" s="9">
        <v>25.1189</v>
      </c>
      <c r="B491" s="10" t="s">
        <v>23</v>
      </c>
      <c r="C491" s="5">
        <v>100</v>
      </c>
      <c r="D491" s="9">
        <v>120.39</v>
      </c>
      <c r="E491" s="9">
        <v>38.027000000000001</v>
      </c>
      <c r="F491" s="11">
        <v>0.31585999999999997</v>
      </c>
      <c r="G491" s="12">
        <f t="shared" si="35"/>
        <v>1.4000006169763799</v>
      </c>
      <c r="H491" s="1">
        <v>1</v>
      </c>
      <c r="I491" s="2">
        <f t="shared" si="36"/>
        <v>0</v>
      </c>
      <c r="J491" s="2">
        <f t="shared" si="37"/>
        <v>1.4000006169763799</v>
      </c>
      <c r="K491" s="1">
        <f t="shared" si="38"/>
        <v>3.981066049866832E-2</v>
      </c>
      <c r="L491" s="17">
        <f t="shared" si="39"/>
        <v>126.25293988260233</v>
      </c>
    </row>
    <row r="492" spans="1:12" x14ac:dyDescent="0.3">
      <c r="A492" s="9">
        <v>31.622800000000002</v>
      </c>
      <c r="B492" s="10" t="s">
        <v>23</v>
      </c>
      <c r="C492" s="5">
        <v>100</v>
      </c>
      <c r="D492" s="9">
        <v>126.23</v>
      </c>
      <c r="E492" s="9">
        <v>38.756</v>
      </c>
      <c r="F492" s="11">
        <v>0.30703000000000003</v>
      </c>
      <c r="G492" s="12">
        <f t="shared" si="35"/>
        <v>1.5000003213429354</v>
      </c>
      <c r="H492" s="1">
        <v>1</v>
      </c>
      <c r="I492" s="2">
        <f t="shared" si="36"/>
        <v>0</v>
      </c>
      <c r="J492" s="2">
        <f t="shared" si="37"/>
        <v>1.5000003213429354</v>
      </c>
      <c r="K492" s="1">
        <f t="shared" si="38"/>
        <v>3.1622753203384882E-2</v>
      </c>
      <c r="L492" s="17">
        <f t="shared" si="39"/>
        <v>132.0455998358143</v>
      </c>
    </row>
    <row r="493" spans="1:12" x14ac:dyDescent="0.3">
      <c r="A493" s="9">
        <v>39.810699999999997</v>
      </c>
      <c r="B493" s="10" t="s">
        <v>23</v>
      </c>
      <c r="C493" s="5">
        <v>100</v>
      </c>
      <c r="D493" s="9">
        <v>132.04</v>
      </c>
      <c r="E493" s="9">
        <v>39.569000000000003</v>
      </c>
      <c r="F493" s="11">
        <v>0.29968</v>
      </c>
      <c r="G493" s="12">
        <f t="shared" si="35"/>
        <v>1.5999998139434199</v>
      </c>
      <c r="H493" s="1">
        <v>1</v>
      </c>
      <c r="I493" s="2">
        <f t="shared" si="36"/>
        <v>0</v>
      </c>
      <c r="J493" s="2">
        <f t="shared" si="37"/>
        <v>1.5999998139434199</v>
      </c>
      <c r="K493" s="1">
        <f t="shared" si="38"/>
        <v>2.5118875076298581E-2</v>
      </c>
      <c r="L493" s="17">
        <f t="shared" si="39"/>
        <v>137.84145733776901</v>
      </c>
    </row>
    <row r="494" spans="1:12" x14ac:dyDescent="0.3">
      <c r="A494" s="9">
        <v>50.1188</v>
      </c>
      <c r="B494" s="10" t="s">
        <v>23</v>
      </c>
      <c r="C494" s="5">
        <v>100</v>
      </c>
      <c r="D494" s="9">
        <v>137.97999999999999</v>
      </c>
      <c r="E494" s="9">
        <v>40.279000000000003</v>
      </c>
      <c r="F494" s="11">
        <v>0.29192000000000001</v>
      </c>
      <c r="G494" s="12">
        <f t="shared" si="35"/>
        <v>1.7000006640855352</v>
      </c>
      <c r="H494" s="1">
        <v>1</v>
      </c>
      <c r="I494" s="2">
        <f t="shared" si="36"/>
        <v>0</v>
      </c>
      <c r="J494" s="2">
        <f t="shared" si="37"/>
        <v>1.7000006640855352</v>
      </c>
      <c r="K494" s="1">
        <f t="shared" si="38"/>
        <v>1.9952592639887617E-2</v>
      </c>
      <c r="L494" s="17">
        <f t="shared" si="39"/>
        <v>143.73892388980795</v>
      </c>
    </row>
    <row r="495" spans="1:12" x14ac:dyDescent="0.3">
      <c r="A495" s="9">
        <v>63.095799999999997</v>
      </c>
      <c r="B495" s="10" t="s">
        <v>23</v>
      </c>
      <c r="C495" s="5">
        <v>100</v>
      </c>
      <c r="D495" s="9">
        <v>143.97</v>
      </c>
      <c r="E495" s="9">
        <v>40.880000000000003</v>
      </c>
      <c r="F495" s="11">
        <v>0.28394000000000003</v>
      </c>
      <c r="G495" s="12">
        <f t="shared" si="35"/>
        <v>1.800000451200845</v>
      </c>
      <c r="H495" s="1">
        <v>1</v>
      </c>
      <c r="I495" s="2">
        <f t="shared" si="36"/>
        <v>0</v>
      </c>
      <c r="J495" s="2">
        <f t="shared" si="37"/>
        <v>1.800000451200845</v>
      </c>
      <c r="K495" s="1">
        <f t="shared" si="38"/>
        <v>1.5848915458715161E-2</v>
      </c>
      <c r="L495" s="17">
        <f t="shared" si="39"/>
        <v>149.66140217170224</v>
      </c>
    </row>
    <row r="496" spans="1:12" x14ac:dyDescent="0.3">
      <c r="A496" s="9">
        <v>79.432900000000004</v>
      </c>
      <c r="B496" s="10" t="s">
        <v>23</v>
      </c>
      <c r="C496" s="5">
        <v>100</v>
      </c>
      <c r="D496" s="9">
        <v>149.94999999999999</v>
      </c>
      <c r="E496" s="9">
        <v>41.545999999999999</v>
      </c>
      <c r="F496" s="11">
        <v>0.27705999999999997</v>
      </c>
      <c r="G496" s="12">
        <f t="shared" si="35"/>
        <v>1.900000418409981</v>
      </c>
      <c r="H496" s="1">
        <v>1</v>
      </c>
      <c r="I496" s="2">
        <f t="shared" si="36"/>
        <v>0</v>
      </c>
      <c r="J496" s="2">
        <f t="shared" si="37"/>
        <v>1.900000418409981</v>
      </c>
      <c r="K496" s="1">
        <f t="shared" si="38"/>
        <v>1.2589241989150591E-2</v>
      </c>
      <c r="L496" s="17">
        <f t="shared" si="39"/>
        <v>155.59907652682259</v>
      </c>
    </row>
    <row r="497" spans="1:12" x14ac:dyDescent="0.3">
      <c r="A497" s="9">
        <v>100</v>
      </c>
      <c r="B497" s="10" t="s">
        <v>23</v>
      </c>
      <c r="C497" s="5">
        <v>100</v>
      </c>
      <c r="D497" s="9">
        <v>156.08000000000001</v>
      </c>
      <c r="E497" s="9">
        <v>42.06</v>
      </c>
      <c r="F497" s="11">
        <v>0.26946999999999999</v>
      </c>
      <c r="G497" s="12">
        <f t="shared" si="35"/>
        <v>2</v>
      </c>
      <c r="H497" s="1">
        <v>1</v>
      </c>
      <c r="I497" s="2">
        <f t="shared" si="36"/>
        <v>0</v>
      </c>
      <c r="J497" s="2">
        <f t="shared" si="37"/>
        <v>2</v>
      </c>
      <c r="K497" s="1">
        <f t="shared" si="38"/>
        <v>0.01</v>
      </c>
      <c r="L497" s="17">
        <f t="shared" si="39"/>
        <v>161.64779614953</v>
      </c>
    </row>
    <row r="498" spans="1:12" x14ac:dyDescent="0.3">
      <c r="A498" s="4">
        <v>0.1</v>
      </c>
      <c r="B498" s="5" t="s">
        <v>24</v>
      </c>
      <c r="C498" s="5">
        <v>110</v>
      </c>
      <c r="D498" s="4">
        <v>9.7445000000000004</v>
      </c>
      <c r="E498" s="4">
        <v>2.9419</v>
      </c>
      <c r="F498" s="6">
        <v>0.30191000000000001</v>
      </c>
      <c r="G498" s="7">
        <f t="shared" si="35"/>
        <v>-1</v>
      </c>
      <c r="H498" s="1">
        <v>3.5999999999999997E-2</v>
      </c>
      <c r="I498" s="2">
        <f t="shared" si="36"/>
        <v>-1.4436974992327127</v>
      </c>
      <c r="J498" s="2">
        <f t="shared" si="37"/>
        <v>-2.4436974992327127</v>
      </c>
      <c r="K498" s="1">
        <f t="shared" si="38"/>
        <v>277.77777777777806</v>
      </c>
      <c r="L498" s="17">
        <f t="shared" si="39"/>
        <v>10.178902487989557</v>
      </c>
    </row>
    <row r="499" spans="1:12" x14ac:dyDescent="0.3">
      <c r="A499" s="4">
        <v>0.12589</v>
      </c>
      <c r="B499" s="5" t="s">
        <v>24</v>
      </c>
      <c r="C499" s="5">
        <v>110</v>
      </c>
      <c r="D499" s="4">
        <v>9.9884000000000004</v>
      </c>
      <c r="E499" s="4">
        <v>3.0872000000000002</v>
      </c>
      <c r="F499" s="6">
        <v>0.30908000000000002</v>
      </c>
      <c r="G499" s="7">
        <f t="shared" si="35"/>
        <v>-0.90000876645531558</v>
      </c>
      <c r="H499" s="1">
        <v>3.5999999999999997E-2</v>
      </c>
      <c r="I499" s="2">
        <f t="shared" si="36"/>
        <v>-1.4436974992327127</v>
      </c>
      <c r="J499" s="2">
        <f t="shared" si="37"/>
        <v>-2.3437062656880281</v>
      </c>
      <c r="K499" s="1">
        <f t="shared" si="38"/>
        <v>220.6511857794724</v>
      </c>
      <c r="L499" s="17">
        <f t="shared" si="39"/>
        <v>10.454613259226761</v>
      </c>
    </row>
    <row r="500" spans="1:12" x14ac:dyDescent="0.3">
      <c r="A500" s="4">
        <v>0.15848999999999999</v>
      </c>
      <c r="B500" s="5" t="s">
        <v>24</v>
      </c>
      <c r="C500" s="5">
        <v>110</v>
      </c>
      <c r="D500" s="4">
        <v>10.436</v>
      </c>
      <c r="E500" s="4">
        <v>3.3668</v>
      </c>
      <c r="F500" s="6">
        <v>0.32261000000000001</v>
      </c>
      <c r="G500" s="7">
        <f t="shared" si="35"/>
        <v>-0.79999813459339819</v>
      </c>
      <c r="H500" s="1">
        <v>3.5999999999999997E-2</v>
      </c>
      <c r="I500" s="2">
        <f t="shared" si="36"/>
        <v>-1.4436974992327127</v>
      </c>
      <c r="J500" s="2">
        <f t="shared" si="37"/>
        <v>-2.2436956338261109</v>
      </c>
      <c r="K500" s="1">
        <f t="shared" si="38"/>
        <v>175.26517621160826</v>
      </c>
      <c r="L500" s="17">
        <f t="shared" si="39"/>
        <v>10.965648099405707</v>
      </c>
    </row>
    <row r="501" spans="1:12" x14ac:dyDescent="0.3">
      <c r="A501" s="4">
        <v>0.19953000000000001</v>
      </c>
      <c r="B501" s="5" t="s">
        <v>24</v>
      </c>
      <c r="C501" s="5">
        <v>110</v>
      </c>
      <c r="D501" s="4">
        <v>10.936999999999999</v>
      </c>
      <c r="E501" s="4">
        <v>3.7816999999999998</v>
      </c>
      <c r="F501" s="6">
        <v>0.34576000000000001</v>
      </c>
      <c r="G501" s="7">
        <f t="shared" si="35"/>
        <v>-0.69999179744618689</v>
      </c>
      <c r="H501" s="1">
        <v>3.5999999999999997E-2</v>
      </c>
      <c r="I501" s="2">
        <f t="shared" si="36"/>
        <v>-1.4436974992327127</v>
      </c>
      <c r="J501" s="2">
        <f t="shared" si="37"/>
        <v>-2.1436892966788994</v>
      </c>
      <c r="K501" s="1">
        <f t="shared" si="38"/>
        <v>139.21604659839502</v>
      </c>
      <c r="L501" s="17">
        <f t="shared" si="39"/>
        <v>11.572347380285469</v>
      </c>
    </row>
    <row r="502" spans="1:12" x14ac:dyDescent="0.3">
      <c r="A502" s="4">
        <v>0.25119000000000002</v>
      </c>
      <c r="B502" s="5" t="s">
        <v>24</v>
      </c>
      <c r="C502" s="5">
        <v>110</v>
      </c>
      <c r="D502" s="4">
        <v>11.539</v>
      </c>
      <c r="E502" s="4">
        <v>4.1814</v>
      </c>
      <c r="F502" s="6">
        <v>0.36237000000000003</v>
      </c>
      <c r="G502" s="7">
        <f t="shared" si="35"/>
        <v>-0.59999765407204408</v>
      </c>
      <c r="H502" s="1">
        <v>3.5999999999999997E-2</v>
      </c>
      <c r="I502" s="2">
        <f t="shared" si="36"/>
        <v>-1.4436974992327127</v>
      </c>
      <c r="J502" s="2">
        <f t="shared" si="37"/>
        <v>-2.0436951533047569</v>
      </c>
      <c r="K502" s="1">
        <f t="shared" si="38"/>
        <v>110.58472780675109</v>
      </c>
      <c r="L502" s="17">
        <f t="shared" si="39"/>
        <v>12.273248427372437</v>
      </c>
    </row>
    <row r="503" spans="1:12" x14ac:dyDescent="0.3">
      <c r="A503" s="4">
        <v>0.31623000000000001</v>
      </c>
      <c r="B503" s="5" t="s">
        <v>24</v>
      </c>
      <c r="C503" s="5">
        <v>110</v>
      </c>
      <c r="D503" s="4">
        <v>12.185</v>
      </c>
      <c r="E503" s="4">
        <v>4.6425000000000001</v>
      </c>
      <c r="F503" s="6">
        <v>0.38100000000000001</v>
      </c>
      <c r="G503" s="7">
        <f t="shared" si="35"/>
        <v>-0.4999969319483068</v>
      </c>
      <c r="H503" s="1">
        <v>3.5999999999999997E-2</v>
      </c>
      <c r="I503" s="2">
        <f t="shared" si="36"/>
        <v>-1.4436974992327127</v>
      </c>
      <c r="J503" s="2">
        <f t="shared" si="37"/>
        <v>-1.9436944311810196</v>
      </c>
      <c r="K503" s="1">
        <f t="shared" si="38"/>
        <v>87.840425569293828</v>
      </c>
      <c r="L503" s="17">
        <f t="shared" si="39"/>
        <v>13.039441370319514</v>
      </c>
    </row>
    <row r="504" spans="1:12" x14ac:dyDescent="0.3">
      <c r="A504" s="4">
        <v>0.39811000000000002</v>
      </c>
      <c r="B504" s="5" t="s">
        <v>24</v>
      </c>
      <c r="C504" s="5">
        <v>110</v>
      </c>
      <c r="D504" s="4">
        <v>12.906000000000001</v>
      </c>
      <c r="E504" s="4">
        <v>5.1599000000000004</v>
      </c>
      <c r="F504" s="6">
        <v>0.39982000000000001</v>
      </c>
      <c r="G504" s="7">
        <f t="shared" si="35"/>
        <v>-0.39999691337225962</v>
      </c>
      <c r="H504" s="1">
        <v>3.5999999999999997E-2</v>
      </c>
      <c r="I504" s="2">
        <f t="shared" si="36"/>
        <v>-1.4436974992327127</v>
      </c>
      <c r="J504" s="2">
        <f t="shared" si="37"/>
        <v>-1.8436944126049724</v>
      </c>
      <c r="K504" s="1">
        <f t="shared" si="38"/>
        <v>69.774127195442944</v>
      </c>
      <c r="L504" s="17">
        <f t="shared" si="39"/>
        <v>13.899259117305499</v>
      </c>
    </row>
    <row r="505" spans="1:12" x14ac:dyDescent="0.3">
      <c r="A505" s="4">
        <v>0.50119000000000002</v>
      </c>
      <c r="B505" s="5" t="s">
        <v>24</v>
      </c>
      <c r="C505" s="5">
        <v>110</v>
      </c>
      <c r="D505" s="4">
        <v>13.686</v>
      </c>
      <c r="E505" s="4">
        <v>5.7041000000000004</v>
      </c>
      <c r="F505" s="6">
        <v>0.41677999999999998</v>
      </c>
      <c r="G505" s="7">
        <f t="shared" si="35"/>
        <v>-0.29999760285774607</v>
      </c>
      <c r="H505" s="1">
        <v>3.5999999999999997E-2</v>
      </c>
      <c r="I505" s="2">
        <f t="shared" si="36"/>
        <v>-1.4436974992327127</v>
      </c>
      <c r="J505" s="2">
        <f t="shared" si="37"/>
        <v>-1.7436951020904587</v>
      </c>
      <c r="K505" s="1">
        <f t="shared" si="38"/>
        <v>55.423647275040963</v>
      </c>
      <c r="L505" s="17">
        <f t="shared" si="39"/>
        <v>14.827115458173244</v>
      </c>
    </row>
    <row r="506" spans="1:12" x14ac:dyDescent="0.3">
      <c r="A506" s="4">
        <v>0.63095999999999997</v>
      </c>
      <c r="B506" s="5" t="s">
        <v>24</v>
      </c>
      <c r="C506" s="5">
        <v>110</v>
      </c>
      <c r="D506" s="4">
        <v>14.564</v>
      </c>
      <c r="E506" s="4">
        <v>6.3014999999999999</v>
      </c>
      <c r="F506" s="6">
        <v>0.43267</v>
      </c>
      <c r="G506" s="7">
        <f t="shared" si="35"/>
        <v>-0.19999817218203128</v>
      </c>
      <c r="H506" s="1">
        <v>3.5999999999999997E-2</v>
      </c>
      <c r="I506" s="2">
        <f t="shared" si="36"/>
        <v>-1.4436974992327127</v>
      </c>
      <c r="J506" s="2">
        <f t="shared" si="37"/>
        <v>-1.6436956714147439</v>
      </c>
      <c r="K506" s="1">
        <f t="shared" si="38"/>
        <v>44.02462561458379</v>
      </c>
      <c r="L506" s="17">
        <f t="shared" si="39"/>
        <v>15.868805823060537</v>
      </c>
    </row>
    <row r="507" spans="1:12" x14ac:dyDescent="0.3">
      <c r="A507" s="4">
        <v>0.79432999999999998</v>
      </c>
      <c r="B507" s="5" t="s">
        <v>24</v>
      </c>
      <c r="C507" s="5">
        <v>110</v>
      </c>
      <c r="D507" s="4">
        <v>15.542</v>
      </c>
      <c r="E507" s="4">
        <v>6.9546000000000001</v>
      </c>
      <c r="F507" s="6">
        <v>0.44747999999999999</v>
      </c>
      <c r="G507" s="7">
        <f t="shared" si="35"/>
        <v>-9.9999034846530471E-2</v>
      </c>
      <c r="H507" s="1">
        <v>3.5999999999999997E-2</v>
      </c>
      <c r="I507" s="2">
        <f t="shared" si="36"/>
        <v>-1.4436974992327127</v>
      </c>
      <c r="J507" s="2">
        <f t="shared" si="37"/>
        <v>-1.5436965340792432</v>
      </c>
      <c r="K507" s="1">
        <f t="shared" si="38"/>
        <v>34.970072611858782</v>
      </c>
      <c r="L507" s="17">
        <f t="shared" si="39"/>
        <v>17.027043934870196</v>
      </c>
    </row>
    <row r="508" spans="1:12" x14ac:dyDescent="0.3">
      <c r="A508" s="4">
        <v>1</v>
      </c>
      <c r="B508" s="5" t="s">
        <v>24</v>
      </c>
      <c r="C508" s="5">
        <v>110</v>
      </c>
      <c r="D508" s="4">
        <v>16.603999999999999</v>
      </c>
      <c r="E508" s="4">
        <v>7.6745999999999999</v>
      </c>
      <c r="F508" s="6">
        <v>0.46222000000000002</v>
      </c>
      <c r="G508" s="7">
        <f t="shared" si="35"/>
        <v>0</v>
      </c>
      <c r="H508" s="1">
        <v>3.5999999999999997E-2</v>
      </c>
      <c r="I508" s="2">
        <f t="shared" si="36"/>
        <v>-1.4436974992327127</v>
      </c>
      <c r="J508" s="2">
        <f t="shared" si="37"/>
        <v>-1.4436974992327127</v>
      </c>
      <c r="K508" s="1">
        <f t="shared" si="38"/>
        <v>27.777777777777786</v>
      </c>
      <c r="L508" s="17">
        <f t="shared" si="39"/>
        <v>18.291864343472483</v>
      </c>
    </row>
    <row r="509" spans="1:12" x14ac:dyDescent="0.3">
      <c r="A509" s="4">
        <v>1.2589300000000001</v>
      </c>
      <c r="B509" s="5" t="s">
        <v>24</v>
      </c>
      <c r="C509" s="5">
        <v>110</v>
      </c>
      <c r="D509" s="4">
        <v>17.829999999999998</v>
      </c>
      <c r="E509" s="4">
        <v>8.4802</v>
      </c>
      <c r="F509" s="6">
        <v>0.47560000000000002</v>
      </c>
      <c r="G509" s="7">
        <f t="shared" si="35"/>
        <v>0.10000158280135207</v>
      </c>
      <c r="H509" s="1">
        <v>3.5999999999999997E-2</v>
      </c>
      <c r="I509" s="2">
        <f t="shared" si="36"/>
        <v>-1.4436974992327127</v>
      </c>
      <c r="J509" s="2">
        <f t="shared" si="37"/>
        <v>-1.3436959164313607</v>
      </c>
      <c r="K509" s="1">
        <f t="shared" si="38"/>
        <v>22.064592771462898</v>
      </c>
      <c r="L509" s="17">
        <f t="shared" si="39"/>
        <v>19.743927979001544</v>
      </c>
    </row>
    <row r="510" spans="1:12" x14ac:dyDescent="0.3">
      <c r="A510" s="4">
        <v>1.5848899999999999</v>
      </c>
      <c r="B510" s="5" t="s">
        <v>24</v>
      </c>
      <c r="C510" s="5">
        <v>110</v>
      </c>
      <c r="D510" s="4">
        <v>19.042999999999999</v>
      </c>
      <c r="E510" s="4">
        <v>9.2830999999999992</v>
      </c>
      <c r="F510" s="6">
        <v>0.48748999999999998</v>
      </c>
      <c r="G510" s="7">
        <f t="shared" si="35"/>
        <v>0.19999912519679666</v>
      </c>
      <c r="H510" s="1">
        <v>3.5999999999999997E-2</v>
      </c>
      <c r="I510" s="2">
        <f t="shared" si="36"/>
        <v>-1.4436974992327127</v>
      </c>
      <c r="J510" s="2">
        <f t="shared" si="37"/>
        <v>-1.243698374035916</v>
      </c>
      <c r="K510" s="1">
        <f t="shared" si="38"/>
        <v>17.526628206233731</v>
      </c>
      <c r="L510" s="17">
        <f t="shared" si="39"/>
        <v>21.185178654191233</v>
      </c>
    </row>
    <row r="511" spans="1:12" x14ac:dyDescent="0.3">
      <c r="A511" s="4">
        <v>1.99526</v>
      </c>
      <c r="B511" s="5" t="s">
        <v>24</v>
      </c>
      <c r="C511" s="5">
        <v>110</v>
      </c>
      <c r="D511" s="4">
        <v>20.443999999999999</v>
      </c>
      <c r="E511" s="4">
        <v>10.15</v>
      </c>
      <c r="F511" s="6">
        <v>0.49648999999999999</v>
      </c>
      <c r="G511" s="7">
        <f t="shared" si="35"/>
        <v>0.29999949611698379</v>
      </c>
      <c r="H511" s="1">
        <v>3.5999999999999997E-2</v>
      </c>
      <c r="I511" s="2">
        <f t="shared" si="36"/>
        <v>-1.4436974992327127</v>
      </c>
      <c r="J511" s="2">
        <f t="shared" si="37"/>
        <v>-1.1436980031157289</v>
      </c>
      <c r="K511" s="1">
        <f t="shared" si="38"/>
        <v>13.92188375338441</v>
      </c>
      <c r="L511" s="17">
        <f t="shared" si="39"/>
        <v>22.824978335148533</v>
      </c>
    </row>
    <row r="512" spans="1:12" x14ac:dyDescent="0.3">
      <c r="A512" s="4">
        <v>2.5118900000000002</v>
      </c>
      <c r="B512" s="5" t="s">
        <v>24</v>
      </c>
      <c r="C512" s="5">
        <v>110</v>
      </c>
      <c r="D512" s="4">
        <v>22.007999999999999</v>
      </c>
      <c r="E512" s="4">
        <v>11.111000000000001</v>
      </c>
      <c r="F512" s="6">
        <v>0.50487000000000004</v>
      </c>
      <c r="G512" s="7">
        <f t="shared" si="35"/>
        <v>0.40000061697637995</v>
      </c>
      <c r="H512" s="1">
        <v>3.5999999999999997E-2</v>
      </c>
      <c r="I512" s="2">
        <f t="shared" si="36"/>
        <v>-1.4436974992327127</v>
      </c>
      <c r="J512" s="2">
        <f t="shared" si="37"/>
        <v>-1.0436968822563328</v>
      </c>
      <c r="K512" s="1">
        <f t="shared" si="38"/>
        <v>11.058516805185651</v>
      </c>
      <c r="L512" s="17">
        <f t="shared" si="39"/>
        <v>24.653729636710143</v>
      </c>
    </row>
    <row r="513" spans="1:12" x14ac:dyDescent="0.3">
      <c r="A513" s="4">
        <v>3.16228</v>
      </c>
      <c r="B513" s="5" t="s">
        <v>24</v>
      </c>
      <c r="C513" s="5">
        <v>110</v>
      </c>
      <c r="D513" s="4">
        <v>23.739000000000001</v>
      </c>
      <c r="E513" s="4">
        <v>12.1</v>
      </c>
      <c r="F513" s="6">
        <v>0.50973000000000002</v>
      </c>
      <c r="G513" s="7">
        <f t="shared" si="35"/>
        <v>0.50000032134293526</v>
      </c>
      <c r="H513" s="1">
        <v>3.5999999999999997E-2</v>
      </c>
      <c r="I513" s="2">
        <f t="shared" si="36"/>
        <v>-1.4436974992327127</v>
      </c>
      <c r="J513" s="2">
        <f t="shared" si="37"/>
        <v>-0.94369717788977747</v>
      </c>
      <c r="K513" s="1">
        <f t="shared" si="38"/>
        <v>8.7840981120513639</v>
      </c>
      <c r="L513" s="17">
        <f t="shared" si="39"/>
        <v>26.644889209752776</v>
      </c>
    </row>
    <row r="514" spans="1:12" x14ac:dyDescent="0.3">
      <c r="A514" s="4">
        <v>3.9810699999999999</v>
      </c>
      <c r="B514" s="5" t="s">
        <v>24</v>
      </c>
      <c r="C514" s="5">
        <v>110</v>
      </c>
      <c r="D514" s="4">
        <v>25.562000000000001</v>
      </c>
      <c r="E514" s="4">
        <v>13.131</v>
      </c>
      <c r="F514" s="6">
        <v>0.51370000000000005</v>
      </c>
      <c r="G514" s="7">
        <f t="shared" si="35"/>
        <v>0.59999981394342006</v>
      </c>
      <c r="H514" s="1">
        <v>3.5999999999999997E-2</v>
      </c>
      <c r="I514" s="2">
        <f t="shared" si="36"/>
        <v>-1.4436974992327127</v>
      </c>
      <c r="J514" s="2">
        <f t="shared" si="37"/>
        <v>-0.84369768528929268</v>
      </c>
      <c r="K514" s="1">
        <f t="shared" si="38"/>
        <v>6.97746529897183</v>
      </c>
      <c r="L514" s="17">
        <f t="shared" si="39"/>
        <v>28.737414723666429</v>
      </c>
    </row>
    <row r="515" spans="1:12" x14ac:dyDescent="0.3">
      <c r="A515" s="4">
        <v>5.01187</v>
      </c>
      <c r="B515" s="5" t="s">
        <v>24</v>
      </c>
      <c r="C515" s="5">
        <v>110</v>
      </c>
      <c r="D515" s="4">
        <v>27.465</v>
      </c>
      <c r="E515" s="4">
        <v>14.189</v>
      </c>
      <c r="F515" s="6">
        <v>0.51663000000000003</v>
      </c>
      <c r="G515" s="7">
        <f t="shared" ref="G515:G578" si="40">LOG(A515)</f>
        <v>0.69999979755458241</v>
      </c>
      <c r="H515" s="1">
        <v>3.5999999999999997E-2</v>
      </c>
      <c r="I515" s="2">
        <f t="shared" ref="I515:I578" si="41">LOG(H515)</f>
        <v>-1.4436974992327127</v>
      </c>
      <c r="J515" s="2">
        <f t="shared" ref="J515:J578" si="42">G515+I515</f>
        <v>-0.74369770167813032</v>
      </c>
      <c r="K515" s="1">
        <f t="shared" ref="K515:K578" si="43">1/10^J515</f>
        <v>5.5423979029339909</v>
      </c>
      <c r="L515" s="17">
        <f t="shared" ref="L515:L578" si="44">SQRT(D515^2+E515^2)</f>
        <v>30.91365306785984</v>
      </c>
    </row>
    <row r="516" spans="1:12" x14ac:dyDescent="0.3">
      <c r="A516" s="4">
        <v>6.3095800000000004</v>
      </c>
      <c r="B516" s="5" t="s">
        <v>24</v>
      </c>
      <c r="C516" s="5">
        <v>110</v>
      </c>
      <c r="D516" s="4">
        <v>29.588999999999999</v>
      </c>
      <c r="E516" s="4">
        <v>15.319000000000001</v>
      </c>
      <c r="F516" s="6">
        <v>0.51771999999999996</v>
      </c>
      <c r="G516" s="7">
        <f t="shared" si="40"/>
        <v>0.80000045120084495</v>
      </c>
      <c r="H516" s="1">
        <v>3.5999999999999997E-2</v>
      </c>
      <c r="I516" s="2">
        <f t="shared" si="41"/>
        <v>-1.4436974992327127</v>
      </c>
      <c r="J516" s="2">
        <f t="shared" si="42"/>
        <v>-0.64369704803186778</v>
      </c>
      <c r="K516" s="1">
        <f t="shared" si="43"/>
        <v>4.4024765163097674</v>
      </c>
      <c r="L516" s="17">
        <f t="shared" si="44"/>
        <v>33.319373973710853</v>
      </c>
    </row>
    <row r="517" spans="1:12" x14ac:dyDescent="0.3">
      <c r="A517" s="4">
        <v>7.9432900000000002</v>
      </c>
      <c r="B517" s="5" t="s">
        <v>24</v>
      </c>
      <c r="C517" s="5">
        <v>110</v>
      </c>
      <c r="D517" s="4">
        <v>31.925000000000001</v>
      </c>
      <c r="E517" s="4">
        <v>16.518000000000001</v>
      </c>
      <c r="F517" s="6">
        <v>0.51739000000000002</v>
      </c>
      <c r="G517" s="7">
        <f t="shared" si="40"/>
        <v>0.90000041840998102</v>
      </c>
      <c r="H517" s="1">
        <v>3.5999999999999997E-2</v>
      </c>
      <c r="I517" s="2">
        <f t="shared" si="41"/>
        <v>-1.4436974992327127</v>
      </c>
      <c r="J517" s="2">
        <f t="shared" si="42"/>
        <v>-0.54369708082273172</v>
      </c>
      <c r="K517" s="1">
        <f t="shared" si="43"/>
        <v>3.4970116636529425</v>
      </c>
      <c r="L517" s="17">
        <f t="shared" si="44"/>
        <v>35.945096313683734</v>
      </c>
    </row>
    <row r="518" spans="1:12" x14ac:dyDescent="0.3">
      <c r="A518" s="4">
        <v>10</v>
      </c>
      <c r="B518" s="5" t="s">
        <v>24</v>
      </c>
      <c r="C518" s="5">
        <v>110</v>
      </c>
      <c r="D518" s="4">
        <v>34.345999999999997</v>
      </c>
      <c r="E518" s="4">
        <v>17.702000000000002</v>
      </c>
      <c r="F518" s="6">
        <v>0.51541000000000003</v>
      </c>
      <c r="G518" s="7">
        <f t="shared" si="40"/>
        <v>1</v>
      </c>
      <c r="H518" s="1">
        <v>3.5999999999999997E-2</v>
      </c>
      <c r="I518" s="2">
        <f t="shared" si="41"/>
        <v>-1.4436974992327127</v>
      </c>
      <c r="J518" s="2">
        <f t="shared" si="42"/>
        <v>-0.44369749923271273</v>
      </c>
      <c r="K518" s="1">
        <f t="shared" si="43"/>
        <v>2.7777777777777781</v>
      </c>
      <c r="L518" s="17">
        <f t="shared" si="44"/>
        <v>38.639468422844537</v>
      </c>
    </row>
    <row r="519" spans="1:12" x14ac:dyDescent="0.3">
      <c r="A519" s="4">
        <v>12.5893</v>
      </c>
      <c r="B519" s="5" t="s">
        <v>24</v>
      </c>
      <c r="C519" s="5">
        <v>110</v>
      </c>
      <c r="D519" s="4">
        <v>37.024000000000001</v>
      </c>
      <c r="E519" s="4">
        <v>18.977</v>
      </c>
      <c r="F519" s="6">
        <v>0.51256000000000002</v>
      </c>
      <c r="G519" s="7">
        <f t="shared" si="40"/>
        <v>1.1000015828013521</v>
      </c>
      <c r="H519" s="1">
        <v>3.5999999999999997E-2</v>
      </c>
      <c r="I519" s="2">
        <f t="shared" si="41"/>
        <v>-1.4436974992327127</v>
      </c>
      <c r="J519" s="2">
        <f t="shared" si="42"/>
        <v>-0.34369591643136066</v>
      </c>
      <c r="K519" s="1">
        <f t="shared" si="43"/>
        <v>2.2064592771462892</v>
      </c>
      <c r="L519" s="17">
        <f t="shared" si="44"/>
        <v>41.604123653791817</v>
      </c>
    </row>
    <row r="520" spans="1:12" x14ac:dyDescent="0.3">
      <c r="A520" s="4">
        <v>15.8489</v>
      </c>
      <c r="B520" s="5" t="s">
        <v>24</v>
      </c>
      <c r="C520" s="5">
        <v>110</v>
      </c>
      <c r="D520" s="4">
        <v>40.006</v>
      </c>
      <c r="E520" s="4">
        <v>20.312999999999999</v>
      </c>
      <c r="F520" s="6">
        <v>0.50777000000000005</v>
      </c>
      <c r="G520" s="7">
        <f t="shared" si="40"/>
        <v>1.1999991251967967</v>
      </c>
      <c r="H520" s="1">
        <v>3.5999999999999997E-2</v>
      </c>
      <c r="I520" s="2">
        <f t="shared" si="41"/>
        <v>-1.4436974992327127</v>
      </c>
      <c r="J520" s="2">
        <f t="shared" si="42"/>
        <v>-0.24369837403591599</v>
      </c>
      <c r="K520" s="1">
        <f t="shared" si="43"/>
        <v>1.7526628206233728</v>
      </c>
      <c r="L520" s="17">
        <f t="shared" si="44"/>
        <v>44.867560720413586</v>
      </c>
    </row>
    <row r="521" spans="1:12" x14ac:dyDescent="0.3">
      <c r="A521" s="4">
        <v>19.9526</v>
      </c>
      <c r="B521" s="5" t="s">
        <v>24</v>
      </c>
      <c r="C521" s="5">
        <v>110</v>
      </c>
      <c r="D521" s="4">
        <v>43.104999999999997</v>
      </c>
      <c r="E521" s="4">
        <v>21.638000000000002</v>
      </c>
      <c r="F521" s="6">
        <v>0.502</v>
      </c>
      <c r="G521" s="7">
        <f t="shared" si="40"/>
        <v>1.2999994961169838</v>
      </c>
      <c r="H521" s="1">
        <v>3.5999999999999997E-2</v>
      </c>
      <c r="I521" s="2">
        <f t="shared" si="41"/>
        <v>-1.4436974992327127</v>
      </c>
      <c r="J521" s="2">
        <f t="shared" si="42"/>
        <v>-0.14369800311572889</v>
      </c>
      <c r="K521" s="1">
        <f t="shared" si="43"/>
        <v>1.3921883753384408</v>
      </c>
      <c r="L521" s="17">
        <f t="shared" si="44"/>
        <v>48.231152474308551</v>
      </c>
    </row>
    <row r="522" spans="1:12" x14ac:dyDescent="0.3">
      <c r="A522" s="4">
        <v>25.1189</v>
      </c>
      <c r="B522" s="5" t="s">
        <v>24</v>
      </c>
      <c r="C522" s="5">
        <v>110</v>
      </c>
      <c r="D522" s="4">
        <v>46.478000000000002</v>
      </c>
      <c r="E522" s="4">
        <v>23.024000000000001</v>
      </c>
      <c r="F522" s="6">
        <v>0.49537999999999999</v>
      </c>
      <c r="G522" s="7">
        <f t="shared" si="40"/>
        <v>1.4000006169763799</v>
      </c>
      <c r="H522" s="1">
        <v>3.5999999999999997E-2</v>
      </c>
      <c r="I522" s="2">
        <f t="shared" si="41"/>
        <v>-1.4436974992327127</v>
      </c>
      <c r="J522" s="2">
        <f t="shared" si="42"/>
        <v>-4.3696882256332836E-2</v>
      </c>
      <c r="K522" s="1">
        <f t="shared" si="43"/>
        <v>1.1058516805185648</v>
      </c>
      <c r="L522" s="17">
        <f t="shared" si="44"/>
        <v>51.868189287847713</v>
      </c>
    </row>
    <row r="523" spans="1:12" x14ac:dyDescent="0.3">
      <c r="A523" s="4">
        <v>31.622800000000002</v>
      </c>
      <c r="B523" s="5" t="s">
        <v>24</v>
      </c>
      <c r="C523" s="5">
        <v>110</v>
      </c>
      <c r="D523" s="4">
        <v>50.067999999999998</v>
      </c>
      <c r="E523" s="4">
        <v>24.451000000000001</v>
      </c>
      <c r="F523" s="6">
        <v>0.48836000000000002</v>
      </c>
      <c r="G523" s="7">
        <f t="shared" si="40"/>
        <v>1.5000003213429354</v>
      </c>
      <c r="H523" s="1">
        <v>3.5999999999999997E-2</v>
      </c>
      <c r="I523" s="2">
        <f t="shared" si="41"/>
        <v>-1.4436974992327127</v>
      </c>
      <c r="J523" s="2">
        <f t="shared" si="42"/>
        <v>5.6302822110222639E-2</v>
      </c>
      <c r="K523" s="1">
        <f t="shared" si="43"/>
        <v>0.87840981120513595</v>
      </c>
      <c r="L523" s="17">
        <f t="shared" si="44"/>
        <v>55.7194402789547</v>
      </c>
    </row>
    <row r="524" spans="1:12" x14ac:dyDescent="0.3">
      <c r="A524" s="4">
        <v>39.810699999999997</v>
      </c>
      <c r="B524" s="5" t="s">
        <v>24</v>
      </c>
      <c r="C524" s="5">
        <v>110</v>
      </c>
      <c r="D524" s="4">
        <v>53.85</v>
      </c>
      <c r="E524" s="4">
        <v>25.856999999999999</v>
      </c>
      <c r="F524" s="6">
        <v>0.48016999999999999</v>
      </c>
      <c r="G524" s="7">
        <f t="shared" si="40"/>
        <v>1.5999998139434199</v>
      </c>
      <c r="H524" s="1">
        <v>3.5999999999999997E-2</v>
      </c>
      <c r="I524" s="2">
        <f t="shared" si="41"/>
        <v>-1.4436974992327127</v>
      </c>
      <c r="J524" s="2">
        <f t="shared" si="42"/>
        <v>0.15630231471070721</v>
      </c>
      <c r="K524" s="1">
        <f t="shared" si="43"/>
        <v>0.69774652989718311</v>
      </c>
      <c r="L524" s="17">
        <f t="shared" si="44"/>
        <v>59.736144410231233</v>
      </c>
    </row>
    <row r="525" spans="1:12" x14ac:dyDescent="0.3">
      <c r="A525" s="4">
        <v>50.1188</v>
      </c>
      <c r="B525" s="5" t="s">
        <v>24</v>
      </c>
      <c r="C525" s="5">
        <v>110</v>
      </c>
      <c r="D525" s="4">
        <v>57.784999999999997</v>
      </c>
      <c r="E525" s="4">
        <v>27.257000000000001</v>
      </c>
      <c r="F525" s="6">
        <v>0.47170000000000001</v>
      </c>
      <c r="G525" s="7">
        <f t="shared" si="40"/>
        <v>1.7000006640855352</v>
      </c>
      <c r="H525" s="1">
        <v>3.5999999999999997E-2</v>
      </c>
      <c r="I525" s="2">
        <f t="shared" si="41"/>
        <v>-1.4436974992327127</v>
      </c>
      <c r="J525" s="2">
        <f t="shared" si="42"/>
        <v>0.25630316485282245</v>
      </c>
      <c r="K525" s="1">
        <f t="shared" si="43"/>
        <v>0.55423868444132285</v>
      </c>
      <c r="L525" s="17">
        <f t="shared" si="44"/>
        <v>63.890924817222668</v>
      </c>
    </row>
    <row r="526" spans="1:12" x14ac:dyDescent="0.3">
      <c r="A526" s="4">
        <v>63.095799999999997</v>
      </c>
      <c r="B526" s="5" t="s">
        <v>24</v>
      </c>
      <c r="C526" s="5">
        <v>110</v>
      </c>
      <c r="D526" s="4">
        <v>61.906999999999996</v>
      </c>
      <c r="E526" s="4">
        <v>28.654</v>
      </c>
      <c r="F526" s="6">
        <v>0.46285999999999999</v>
      </c>
      <c r="G526" s="7">
        <f t="shared" si="40"/>
        <v>1.800000451200845</v>
      </c>
      <c r="H526" s="1">
        <v>3.5999999999999997E-2</v>
      </c>
      <c r="I526" s="2">
        <f t="shared" si="41"/>
        <v>-1.4436974992327127</v>
      </c>
      <c r="J526" s="2">
        <f t="shared" si="42"/>
        <v>0.35630295196813222</v>
      </c>
      <c r="K526" s="1">
        <f t="shared" si="43"/>
        <v>0.44024765163097662</v>
      </c>
      <c r="L526" s="17">
        <f t="shared" si="44"/>
        <v>68.216774806494627</v>
      </c>
    </row>
    <row r="527" spans="1:12" x14ac:dyDescent="0.3">
      <c r="A527" s="4">
        <v>79.432900000000004</v>
      </c>
      <c r="B527" s="5" t="s">
        <v>24</v>
      </c>
      <c r="C527" s="5">
        <v>110</v>
      </c>
      <c r="D527" s="4">
        <v>66.265000000000001</v>
      </c>
      <c r="E527" s="4">
        <v>30.050999999999998</v>
      </c>
      <c r="F527" s="6">
        <v>0.45349</v>
      </c>
      <c r="G527" s="7">
        <f t="shared" si="40"/>
        <v>1.900000418409981</v>
      </c>
      <c r="H527" s="1">
        <v>3.5999999999999997E-2</v>
      </c>
      <c r="I527" s="2">
        <f t="shared" si="41"/>
        <v>-1.4436974992327127</v>
      </c>
      <c r="J527" s="2">
        <f t="shared" si="42"/>
        <v>0.45630291917726828</v>
      </c>
      <c r="K527" s="1">
        <f t="shared" si="43"/>
        <v>0.34970116636529414</v>
      </c>
      <c r="L527" s="17">
        <f t="shared" si="44"/>
        <v>72.760654381334419</v>
      </c>
    </row>
    <row r="528" spans="1:12" x14ac:dyDescent="0.3">
      <c r="A528" s="4">
        <v>100</v>
      </c>
      <c r="B528" s="5" t="s">
        <v>24</v>
      </c>
      <c r="C528" s="5">
        <v>110</v>
      </c>
      <c r="D528" s="4">
        <v>70.748000000000005</v>
      </c>
      <c r="E528" s="4">
        <v>31.393999999999998</v>
      </c>
      <c r="F528" s="6">
        <v>0.44374000000000002</v>
      </c>
      <c r="G528" s="7">
        <f t="shared" si="40"/>
        <v>2</v>
      </c>
      <c r="H528" s="1">
        <v>3.5999999999999997E-2</v>
      </c>
      <c r="I528" s="2">
        <f t="shared" si="41"/>
        <v>-1.4436974992327127</v>
      </c>
      <c r="J528" s="2">
        <f t="shared" si="42"/>
        <v>0.55630250076728727</v>
      </c>
      <c r="K528" s="1">
        <f t="shared" si="43"/>
        <v>0.27777777777777773</v>
      </c>
      <c r="L528" s="17">
        <f t="shared" si="44"/>
        <v>77.400663692244919</v>
      </c>
    </row>
    <row r="529" spans="1:12" x14ac:dyDescent="0.3">
      <c r="A529" s="9">
        <v>0.1</v>
      </c>
      <c r="B529" s="10" t="s">
        <v>25</v>
      </c>
      <c r="C529" s="5">
        <v>120</v>
      </c>
      <c r="D529" s="9">
        <v>6.9374000000000002</v>
      </c>
      <c r="E529" s="9">
        <v>0.57377</v>
      </c>
      <c r="F529" s="11">
        <v>8.2710000000000006E-2</v>
      </c>
      <c r="G529" s="12">
        <f t="shared" si="40"/>
        <v>-1</v>
      </c>
      <c r="H529" s="1">
        <v>1.328E-3</v>
      </c>
      <c r="I529" s="2">
        <f t="shared" si="41"/>
        <v>-2.8768019249680012</v>
      </c>
      <c r="J529" s="2">
        <f t="shared" si="42"/>
        <v>-3.8768019249680012</v>
      </c>
      <c r="K529" s="1">
        <f t="shared" si="43"/>
        <v>7530.1204819277109</v>
      </c>
      <c r="L529" s="17">
        <f t="shared" si="44"/>
        <v>6.9610868959452015</v>
      </c>
    </row>
    <row r="530" spans="1:12" x14ac:dyDescent="0.3">
      <c r="A530" s="9">
        <v>0.12589</v>
      </c>
      <c r="B530" s="10" t="s">
        <v>25</v>
      </c>
      <c r="C530" s="5">
        <v>120</v>
      </c>
      <c r="D530" s="9">
        <v>6.8826999999999998</v>
      </c>
      <c r="E530" s="9">
        <v>0.55647999999999997</v>
      </c>
      <c r="F530" s="11">
        <v>8.0850000000000005E-2</v>
      </c>
      <c r="G530" s="12">
        <f t="shared" si="40"/>
        <v>-0.90000876645531558</v>
      </c>
      <c r="H530" s="1">
        <v>1.328E-3</v>
      </c>
      <c r="I530" s="2">
        <f t="shared" si="41"/>
        <v>-2.8768019249680012</v>
      </c>
      <c r="J530" s="2">
        <f t="shared" si="42"/>
        <v>-3.776810691423317</v>
      </c>
      <c r="K530" s="1">
        <f t="shared" si="43"/>
        <v>5981.5080482387148</v>
      </c>
      <c r="L530" s="17">
        <f t="shared" si="44"/>
        <v>6.9051596129560977</v>
      </c>
    </row>
    <row r="531" spans="1:12" x14ac:dyDescent="0.3">
      <c r="A531" s="9">
        <v>0.15848999999999999</v>
      </c>
      <c r="B531" s="10" t="s">
        <v>25</v>
      </c>
      <c r="C531" s="5">
        <v>120</v>
      </c>
      <c r="D531" s="9">
        <v>6.9097999999999997</v>
      </c>
      <c r="E531" s="9">
        <v>0.61372000000000004</v>
      </c>
      <c r="F531" s="11">
        <v>8.8819999999999996E-2</v>
      </c>
      <c r="G531" s="12">
        <f t="shared" si="40"/>
        <v>-0.79999813459339819</v>
      </c>
      <c r="H531" s="1">
        <v>1.328E-3</v>
      </c>
      <c r="I531" s="2">
        <f t="shared" si="41"/>
        <v>-2.8768019249680012</v>
      </c>
      <c r="J531" s="2">
        <f t="shared" si="42"/>
        <v>-3.6768000595613994</v>
      </c>
      <c r="K531" s="1">
        <f t="shared" si="43"/>
        <v>4751.1644153749221</v>
      </c>
      <c r="L531" s="17">
        <f t="shared" si="44"/>
        <v>6.9370013895342417</v>
      </c>
    </row>
    <row r="532" spans="1:12" x14ac:dyDescent="0.3">
      <c r="A532" s="9">
        <v>0.19953000000000001</v>
      </c>
      <c r="B532" s="10" t="s">
        <v>25</v>
      </c>
      <c r="C532" s="5">
        <v>120</v>
      </c>
      <c r="D532" s="9">
        <v>6.9898999999999996</v>
      </c>
      <c r="E532" s="9">
        <v>0.72428999999999999</v>
      </c>
      <c r="F532" s="11">
        <v>0.10362</v>
      </c>
      <c r="G532" s="12">
        <f t="shared" si="40"/>
        <v>-0.69999179744618689</v>
      </c>
      <c r="H532" s="1">
        <v>1.328E-3</v>
      </c>
      <c r="I532" s="2">
        <f t="shared" si="41"/>
        <v>-2.8768019249680012</v>
      </c>
      <c r="J532" s="2">
        <f t="shared" si="42"/>
        <v>-3.5767937224141884</v>
      </c>
      <c r="K532" s="1">
        <f t="shared" si="43"/>
        <v>3773.9289740528839</v>
      </c>
      <c r="L532" s="17">
        <f t="shared" si="44"/>
        <v>7.0273250966566216</v>
      </c>
    </row>
    <row r="533" spans="1:12" x14ac:dyDescent="0.3">
      <c r="A533" s="9">
        <v>0.25119000000000002</v>
      </c>
      <c r="B533" s="10" t="s">
        <v>25</v>
      </c>
      <c r="C533" s="5">
        <v>120</v>
      </c>
      <c r="D533" s="9">
        <v>7.1021999999999998</v>
      </c>
      <c r="E533" s="9">
        <v>0.84214999999999995</v>
      </c>
      <c r="F533" s="11">
        <v>0.11858</v>
      </c>
      <c r="G533" s="12">
        <f t="shared" si="40"/>
        <v>-0.59999765407204408</v>
      </c>
      <c r="H533" s="1">
        <v>1.328E-3</v>
      </c>
      <c r="I533" s="2">
        <f t="shared" si="41"/>
        <v>-2.8768019249680012</v>
      </c>
      <c r="J533" s="2">
        <f t="shared" si="42"/>
        <v>-3.4767995790400454</v>
      </c>
      <c r="K533" s="1">
        <f t="shared" si="43"/>
        <v>2997.7787658456618</v>
      </c>
      <c r="L533" s="17">
        <f t="shared" si="44"/>
        <v>7.1519550797316951</v>
      </c>
    </row>
    <row r="534" spans="1:12" x14ac:dyDescent="0.3">
      <c r="A534" s="9">
        <v>0.31623000000000001</v>
      </c>
      <c r="B534" s="10" t="s">
        <v>25</v>
      </c>
      <c r="C534" s="5">
        <v>120</v>
      </c>
      <c r="D534" s="9">
        <v>7.2430000000000003</v>
      </c>
      <c r="E534" s="9">
        <v>0.94867999999999997</v>
      </c>
      <c r="F534" s="11">
        <v>0.13098000000000001</v>
      </c>
      <c r="G534" s="12">
        <f t="shared" si="40"/>
        <v>-0.4999969319483068</v>
      </c>
      <c r="H534" s="1">
        <v>1.328E-3</v>
      </c>
      <c r="I534" s="2">
        <f t="shared" si="41"/>
        <v>-2.8768019249680012</v>
      </c>
      <c r="J534" s="2">
        <f t="shared" si="42"/>
        <v>-3.3767988569163081</v>
      </c>
      <c r="K534" s="1">
        <f t="shared" si="43"/>
        <v>2381.2163557941117</v>
      </c>
      <c r="L534" s="17">
        <f t="shared" si="44"/>
        <v>7.3048643206017179</v>
      </c>
    </row>
    <row r="535" spans="1:12" x14ac:dyDescent="0.3">
      <c r="A535" s="9">
        <v>0.39811000000000002</v>
      </c>
      <c r="B535" s="10" t="s">
        <v>25</v>
      </c>
      <c r="C535" s="5">
        <v>120</v>
      </c>
      <c r="D535" s="9">
        <v>7.3963000000000001</v>
      </c>
      <c r="E535" s="9">
        <v>1.0531999999999999</v>
      </c>
      <c r="F535" s="11">
        <v>0.1424</v>
      </c>
      <c r="G535" s="12">
        <f t="shared" si="40"/>
        <v>-0.39999691337225962</v>
      </c>
      <c r="H535" s="1">
        <v>1.328E-3</v>
      </c>
      <c r="I535" s="2">
        <f t="shared" si="41"/>
        <v>-2.8768019249680012</v>
      </c>
      <c r="J535" s="2">
        <f t="shared" si="42"/>
        <v>-3.2767988383402606</v>
      </c>
      <c r="K535" s="1">
        <f t="shared" si="43"/>
        <v>1891.4673034909233</v>
      </c>
      <c r="L535" s="17">
        <f t="shared" si="44"/>
        <v>7.4709091769342235</v>
      </c>
    </row>
    <row r="536" spans="1:12" x14ac:dyDescent="0.3">
      <c r="A536" s="9">
        <v>0.50119000000000002</v>
      </c>
      <c r="B536" s="10" t="s">
        <v>25</v>
      </c>
      <c r="C536" s="5">
        <v>120</v>
      </c>
      <c r="D536" s="9">
        <v>7.5873999999999997</v>
      </c>
      <c r="E536" s="9">
        <v>1.2169000000000001</v>
      </c>
      <c r="F536" s="11">
        <v>0.16037999999999999</v>
      </c>
      <c r="G536" s="12">
        <f t="shared" si="40"/>
        <v>-0.29999760285774607</v>
      </c>
      <c r="H536" s="1">
        <v>1.328E-3</v>
      </c>
      <c r="I536" s="2">
        <f t="shared" si="41"/>
        <v>-2.8768019249680012</v>
      </c>
      <c r="J536" s="2">
        <f t="shared" si="42"/>
        <v>-3.1767995278257475</v>
      </c>
      <c r="K536" s="1">
        <f t="shared" si="43"/>
        <v>1502.4482695041233</v>
      </c>
      <c r="L536" s="17">
        <f t="shared" si="44"/>
        <v>7.684366230861202</v>
      </c>
    </row>
    <row r="537" spans="1:12" x14ac:dyDescent="0.3">
      <c r="A537" s="9">
        <v>0.63095999999999997</v>
      </c>
      <c r="B537" s="10" t="s">
        <v>25</v>
      </c>
      <c r="C537" s="5">
        <v>120</v>
      </c>
      <c r="D537" s="9">
        <v>7.7568000000000001</v>
      </c>
      <c r="E537" s="9">
        <v>1.3505</v>
      </c>
      <c r="F537" s="11">
        <v>0.1741</v>
      </c>
      <c r="G537" s="12">
        <f t="shared" si="40"/>
        <v>-0.19999817218203128</v>
      </c>
      <c r="H537" s="1">
        <v>1.328E-3</v>
      </c>
      <c r="I537" s="2">
        <f t="shared" si="41"/>
        <v>-2.8768019249680012</v>
      </c>
      <c r="J537" s="2">
        <f t="shared" si="42"/>
        <v>-3.0768000971500324</v>
      </c>
      <c r="K537" s="1">
        <f t="shared" si="43"/>
        <v>1193.4386461784766</v>
      </c>
      <c r="L537" s="17">
        <f t="shared" si="44"/>
        <v>7.873486933373294</v>
      </c>
    </row>
    <row r="538" spans="1:12" x14ac:dyDescent="0.3">
      <c r="A538" s="9">
        <v>0.79432999999999998</v>
      </c>
      <c r="B538" s="10" t="s">
        <v>25</v>
      </c>
      <c r="C538" s="5">
        <v>120</v>
      </c>
      <c r="D538" s="9">
        <v>7.9856999999999996</v>
      </c>
      <c r="E538" s="9">
        <v>1.502</v>
      </c>
      <c r="F538" s="11">
        <v>0.18809000000000001</v>
      </c>
      <c r="G538" s="12">
        <f t="shared" si="40"/>
        <v>-9.9999034846530471E-2</v>
      </c>
      <c r="H538" s="1">
        <v>1.328E-3</v>
      </c>
      <c r="I538" s="2">
        <f t="shared" si="41"/>
        <v>-2.8768019249680012</v>
      </c>
      <c r="J538" s="2">
        <f t="shared" si="42"/>
        <v>-2.9768009598145317</v>
      </c>
      <c r="K538" s="1">
        <f t="shared" si="43"/>
        <v>947.98389610460629</v>
      </c>
      <c r="L538" s="17">
        <f t="shared" si="44"/>
        <v>8.1257251054905861</v>
      </c>
    </row>
    <row r="539" spans="1:12" x14ac:dyDescent="0.3">
      <c r="A539" s="9">
        <v>1</v>
      </c>
      <c r="B539" s="10" t="s">
        <v>25</v>
      </c>
      <c r="C539" s="5">
        <v>120</v>
      </c>
      <c r="D539" s="9">
        <v>8.2227999999999994</v>
      </c>
      <c r="E539" s="9">
        <v>1.7097</v>
      </c>
      <c r="F539" s="11">
        <v>0.20791999999999999</v>
      </c>
      <c r="G539" s="12">
        <f t="shared" si="40"/>
        <v>0</v>
      </c>
      <c r="H539" s="1">
        <v>1.328E-3</v>
      </c>
      <c r="I539" s="2">
        <f t="shared" si="41"/>
        <v>-2.8768019249680012</v>
      </c>
      <c r="J539" s="2">
        <f t="shared" si="42"/>
        <v>-2.8768019249680012</v>
      </c>
      <c r="K539" s="1">
        <f t="shared" si="43"/>
        <v>753.01204819277154</v>
      </c>
      <c r="L539" s="17">
        <f t="shared" si="44"/>
        <v>8.3986614368005093</v>
      </c>
    </row>
    <row r="540" spans="1:12" x14ac:dyDescent="0.3">
      <c r="A540" s="9">
        <v>1.2589300000000001</v>
      </c>
      <c r="B540" s="10" t="s">
        <v>25</v>
      </c>
      <c r="C540" s="5">
        <v>120</v>
      </c>
      <c r="D540" s="9">
        <v>8.5016999999999996</v>
      </c>
      <c r="E540" s="9">
        <v>1.9327000000000001</v>
      </c>
      <c r="F540" s="11">
        <v>0.22733</v>
      </c>
      <c r="G540" s="12">
        <f t="shared" si="40"/>
        <v>0.10000158280135207</v>
      </c>
      <c r="H540" s="1">
        <v>1.328E-3</v>
      </c>
      <c r="I540" s="2">
        <f t="shared" si="41"/>
        <v>-2.8768019249680012</v>
      </c>
      <c r="J540" s="2">
        <f t="shared" si="42"/>
        <v>-2.7768003421666494</v>
      </c>
      <c r="K540" s="1">
        <f t="shared" si="43"/>
        <v>598.13655103363294</v>
      </c>
      <c r="L540" s="17">
        <f t="shared" si="44"/>
        <v>8.7186141203748662</v>
      </c>
    </row>
    <row r="541" spans="1:12" x14ac:dyDescent="0.3">
      <c r="A541" s="9">
        <v>1.5848899999999999</v>
      </c>
      <c r="B541" s="10" t="s">
        <v>25</v>
      </c>
      <c r="C541" s="5">
        <v>120</v>
      </c>
      <c r="D541" s="9">
        <v>8.8049999999999997</v>
      </c>
      <c r="E541" s="9">
        <v>2.1507000000000001</v>
      </c>
      <c r="F541" s="11">
        <v>0.24424999999999999</v>
      </c>
      <c r="G541" s="12">
        <f t="shared" si="40"/>
        <v>0.19999912519679666</v>
      </c>
      <c r="H541" s="1">
        <v>1.328E-3</v>
      </c>
      <c r="I541" s="2">
        <f t="shared" si="41"/>
        <v>-2.8768019249680012</v>
      </c>
      <c r="J541" s="2">
        <f t="shared" si="42"/>
        <v>-2.6768027997712047</v>
      </c>
      <c r="K541" s="1">
        <f t="shared" si="43"/>
        <v>475.11943932561377</v>
      </c>
      <c r="L541" s="17">
        <f t="shared" si="44"/>
        <v>9.0638587527608792</v>
      </c>
    </row>
    <row r="542" spans="1:12" x14ac:dyDescent="0.3">
      <c r="A542" s="9">
        <v>1.99526</v>
      </c>
      <c r="B542" s="10" t="s">
        <v>25</v>
      </c>
      <c r="C542" s="5">
        <v>120</v>
      </c>
      <c r="D542" s="9">
        <v>9.1486999999999998</v>
      </c>
      <c r="E542" s="9">
        <v>2.4102999999999999</v>
      </c>
      <c r="F542" s="11">
        <v>0.26346000000000003</v>
      </c>
      <c r="G542" s="12">
        <f t="shared" si="40"/>
        <v>0.29999949611698379</v>
      </c>
      <c r="H542" s="1">
        <v>1.328E-3</v>
      </c>
      <c r="I542" s="2">
        <f t="shared" si="41"/>
        <v>-2.8768019249680012</v>
      </c>
      <c r="J542" s="2">
        <f t="shared" si="42"/>
        <v>-2.5768024288510176</v>
      </c>
      <c r="K542" s="1">
        <f t="shared" si="43"/>
        <v>377.40046319415598</v>
      </c>
      <c r="L542" s="17">
        <f t="shared" si="44"/>
        <v>9.4608803913800745</v>
      </c>
    </row>
    <row r="543" spans="1:12" x14ac:dyDescent="0.3">
      <c r="A543" s="9">
        <v>2.5118900000000002</v>
      </c>
      <c r="B543" s="10" t="s">
        <v>25</v>
      </c>
      <c r="C543" s="5">
        <v>120</v>
      </c>
      <c r="D543" s="9">
        <v>9.5454000000000008</v>
      </c>
      <c r="E543" s="9">
        <v>2.7029999999999998</v>
      </c>
      <c r="F543" s="11">
        <v>0.28316999999999998</v>
      </c>
      <c r="G543" s="12">
        <f t="shared" si="40"/>
        <v>0.40000061697637995</v>
      </c>
      <c r="H543" s="1">
        <v>1.328E-3</v>
      </c>
      <c r="I543" s="2">
        <f t="shared" si="41"/>
        <v>-2.8768019249680012</v>
      </c>
      <c r="J543" s="2">
        <f t="shared" si="42"/>
        <v>-2.4768013079916211</v>
      </c>
      <c r="K543" s="1">
        <f t="shared" si="43"/>
        <v>299.77907002009295</v>
      </c>
      <c r="L543" s="17">
        <f t="shared" si="44"/>
        <v>9.9207293159323733</v>
      </c>
    </row>
    <row r="544" spans="1:12" x14ac:dyDescent="0.3">
      <c r="A544" s="9">
        <v>3.16228</v>
      </c>
      <c r="B544" s="10" t="s">
        <v>25</v>
      </c>
      <c r="C544" s="5">
        <v>120</v>
      </c>
      <c r="D544" s="9">
        <v>9.9605999999999995</v>
      </c>
      <c r="E544" s="9">
        <v>3.0352999999999999</v>
      </c>
      <c r="F544" s="11">
        <v>0.30473</v>
      </c>
      <c r="G544" s="12">
        <f t="shared" si="40"/>
        <v>0.50000032134293526</v>
      </c>
      <c r="H544" s="1">
        <v>1.328E-3</v>
      </c>
      <c r="I544" s="2">
        <f t="shared" si="41"/>
        <v>-2.8768019249680012</v>
      </c>
      <c r="J544" s="2">
        <f t="shared" si="42"/>
        <v>-2.3768016036250659</v>
      </c>
      <c r="K544" s="1">
        <f t="shared" si="43"/>
        <v>238.12314159175372</v>
      </c>
      <c r="L544" s="17">
        <f t="shared" si="44"/>
        <v>10.412809344744577</v>
      </c>
    </row>
    <row r="545" spans="1:12" x14ac:dyDescent="0.3">
      <c r="A545" s="9">
        <v>3.9810699999999999</v>
      </c>
      <c r="B545" s="10" t="s">
        <v>25</v>
      </c>
      <c r="C545" s="5">
        <v>120</v>
      </c>
      <c r="D545" s="9">
        <v>10.388999999999999</v>
      </c>
      <c r="E545" s="9">
        <v>3.3782999999999999</v>
      </c>
      <c r="F545" s="11">
        <v>0.32518000000000002</v>
      </c>
      <c r="G545" s="12">
        <f t="shared" si="40"/>
        <v>0.59999981394342006</v>
      </c>
      <c r="H545" s="1">
        <v>1.328E-3</v>
      </c>
      <c r="I545" s="2">
        <f t="shared" si="41"/>
        <v>-2.8768019249680012</v>
      </c>
      <c r="J545" s="2">
        <f t="shared" si="42"/>
        <v>-2.2768021110245811</v>
      </c>
      <c r="K545" s="1">
        <f t="shared" si="43"/>
        <v>189.14815569501948</v>
      </c>
      <c r="L545" s="17">
        <f t="shared" si="44"/>
        <v>10.92447856375763</v>
      </c>
    </row>
    <row r="546" spans="1:12" x14ac:dyDescent="0.3">
      <c r="A546" s="9">
        <v>5.01187</v>
      </c>
      <c r="B546" s="10" t="s">
        <v>25</v>
      </c>
      <c r="C546" s="5">
        <v>120</v>
      </c>
      <c r="D546" s="9">
        <v>10.864000000000001</v>
      </c>
      <c r="E546" s="9">
        <v>3.7505999999999999</v>
      </c>
      <c r="F546" s="11">
        <v>0.34522000000000003</v>
      </c>
      <c r="G546" s="12">
        <f t="shared" si="40"/>
        <v>0.69999979755458241</v>
      </c>
      <c r="H546" s="1">
        <v>1.328E-3</v>
      </c>
      <c r="I546" s="2">
        <f t="shared" si="41"/>
        <v>-2.8768019249680012</v>
      </c>
      <c r="J546" s="2">
        <f t="shared" si="42"/>
        <v>-2.1768021274134188</v>
      </c>
      <c r="K546" s="1">
        <f t="shared" si="43"/>
        <v>150.24572628435513</v>
      </c>
      <c r="L546" s="17">
        <f t="shared" si="44"/>
        <v>11.493193479620885</v>
      </c>
    </row>
    <row r="547" spans="1:12" x14ac:dyDescent="0.3">
      <c r="A547" s="9">
        <v>6.3095800000000004</v>
      </c>
      <c r="B547" s="10" t="s">
        <v>25</v>
      </c>
      <c r="C547" s="5">
        <v>120</v>
      </c>
      <c r="D547" s="9">
        <v>11.438000000000001</v>
      </c>
      <c r="E547" s="9">
        <v>4.1803999999999997</v>
      </c>
      <c r="F547" s="11">
        <v>0.36549999999999999</v>
      </c>
      <c r="G547" s="12">
        <f t="shared" si="40"/>
        <v>0.80000045120084495</v>
      </c>
      <c r="H547" s="1">
        <v>1.328E-3</v>
      </c>
      <c r="I547" s="2">
        <f t="shared" si="41"/>
        <v>-2.8768019249680012</v>
      </c>
      <c r="J547" s="2">
        <f t="shared" si="42"/>
        <v>-2.0768014737671563</v>
      </c>
      <c r="K547" s="1">
        <f t="shared" si="43"/>
        <v>119.34424291201175</v>
      </c>
      <c r="L547" s="17">
        <f t="shared" si="44"/>
        <v>12.177996065034675</v>
      </c>
    </row>
    <row r="548" spans="1:12" x14ac:dyDescent="0.3">
      <c r="A548" s="9">
        <v>7.9432900000000002</v>
      </c>
      <c r="B548" s="10" t="s">
        <v>25</v>
      </c>
      <c r="C548" s="5">
        <v>120</v>
      </c>
      <c r="D548" s="9">
        <v>12.038</v>
      </c>
      <c r="E548" s="9">
        <v>4.6646000000000001</v>
      </c>
      <c r="F548" s="11">
        <v>0.38747999999999999</v>
      </c>
      <c r="G548" s="12">
        <f t="shared" si="40"/>
        <v>0.90000041840998102</v>
      </c>
      <c r="H548" s="1">
        <v>1.328E-3</v>
      </c>
      <c r="I548" s="2">
        <f t="shared" si="41"/>
        <v>-2.8768019249680012</v>
      </c>
      <c r="J548" s="2">
        <f t="shared" si="42"/>
        <v>-1.9768015065580202</v>
      </c>
      <c r="K548" s="1">
        <f t="shared" si="43"/>
        <v>94.798508954447215</v>
      </c>
      <c r="L548" s="17">
        <f t="shared" si="44"/>
        <v>12.910148611073383</v>
      </c>
    </row>
    <row r="549" spans="1:12" x14ac:dyDescent="0.3">
      <c r="A549" s="9">
        <v>10</v>
      </c>
      <c r="B549" s="10" t="s">
        <v>25</v>
      </c>
      <c r="C549" s="5">
        <v>120</v>
      </c>
      <c r="D549" s="9">
        <v>12.706</v>
      </c>
      <c r="E549" s="9">
        <v>5.1683000000000003</v>
      </c>
      <c r="F549" s="11">
        <v>0.40676000000000001</v>
      </c>
      <c r="G549" s="12">
        <f t="shared" si="40"/>
        <v>1</v>
      </c>
      <c r="H549" s="1">
        <v>1.328E-3</v>
      </c>
      <c r="I549" s="2">
        <f t="shared" si="41"/>
        <v>-2.8768019249680012</v>
      </c>
      <c r="J549" s="2">
        <f t="shared" si="42"/>
        <v>-1.8768019249680012</v>
      </c>
      <c r="K549" s="1">
        <f t="shared" si="43"/>
        <v>75.301204819277132</v>
      </c>
      <c r="L549" s="17">
        <f t="shared" si="44"/>
        <v>13.716915137522722</v>
      </c>
    </row>
    <row r="550" spans="1:12" x14ac:dyDescent="0.3">
      <c r="A550" s="9">
        <v>12.5893</v>
      </c>
      <c r="B550" s="10" t="s">
        <v>25</v>
      </c>
      <c r="C550" s="5">
        <v>120</v>
      </c>
      <c r="D550" s="9">
        <v>13.483000000000001</v>
      </c>
      <c r="E550" s="9">
        <v>5.7586000000000004</v>
      </c>
      <c r="F550" s="11">
        <v>0.42710999999999999</v>
      </c>
      <c r="G550" s="12">
        <f t="shared" si="40"/>
        <v>1.1000015828013521</v>
      </c>
      <c r="H550" s="1">
        <v>1.328E-3</v>
      </c>
      <c r="I550" s="2">
        <f t="shared" si="41"/>
        <v>-2.8768019249680012</v>
      </c>
      <c r="J550" s="2">
        <f t="shared" si="42"/>
        <v>-1.7768003421666492</v>
      </c>
      <c r="K550" s="1">
        <f t="shared" si="43"/>
        <v>59.813655103363281</v>
      </c>
      <c r="L550" s="17">
        <f t="shared" si="44"/>
        <v>14.661267440436383</v>
      </c>
    </row>
    <row r="551" spans="1:12" x14ac:dyDescent="0.3">
      <c r="A551" s="9">
        <v>15.8489</v>
      </c>
      <c r="B551" s="10" t="s">
        <v>25</v>
      </c>
      <c r="C551" s="5">
        <v>120</v>
      </c>
      <c r="D551" s="9">
        <v>14.36</v>
      </c>
      <c r="E551" s="9">
        <v>6.4317000000000002</v>
      </c>
      <c r="F551" s="11">
        <v>0.44790000000000002</v>
      </c>
      <c r="G551" s="12">
        <f t="shared" si="40"/>
        <v>1.1999991251967967</v>
      </c>
      <c r="H551" s="1">
        <v>1.328E-3</v>
      </c>
      <c r="I551" s="2">
        <f t="shared" si="41"/>
        <v>-2.8768019249680012</v>
      </c>
      <c r="J551" s="2">
        <f t="shared" si="42"/>
        <v>-1.6768027997712045</v>
      </c>
      <c r="K551" s="1">
        <f t="shared" si="43"/>
        <v>47.511943932561323</v>
      </c>
      <c r="L551" s="17">
        <f t="shared" si="44"/>
        <v>15.734559570893619</v>
      </c>
    </row>
    <row r="552" spans="1:12" x14ac:dyDescent="0.3">
      <c r="A552" s="9">
        <v>19.9526</v>
      </c>
      <c r="B552" s="10" t="s">
        <v>25</v>
      </c>
      <c r="C552" s="5">
        <v>120</v>
      </c>
      <c r="D552" s="9">
        <v>15.263</v>
      </c>
      <c r="E552" s="9">
        <v>7.1036999999999999</v>
      </c>
      <c r="F552" s="11">
        <v>0.46542</v>
      </c>
      <c r="G552" s="12">
        <f t="shared" si="40"/>
        <v>1.2999994961169838</v>
      </c>
      <c r="H552" s="1">
        <v>1.328E-3</v>
      </c>
      <c r="I552" s="2">
        <f t="shared" si="41"/>
        <v>-2.8768019249680012</v>
      </c>
      <c r="J552" s="2">
        <f t="shared" si="42"/>
        <v>-1.5768024288510174</v>
      </c>
      <c r="K552" s="1">
        <f t="shared" si="43"/>
        <v>37.740046319415569</v>
      </c>
      <c r="L552" s="17">
        <f t="shared" si="44"/>
        <v>16.835133580996619</v>
      </c>
    </row>
    <row r="553" spans="1:12" x14ac:dyDescent="0.3">
      <c r="A553" s="9">
        <v>25.1189</v>
      </c>
      <c r="B553" s="10" t="s">
        <v>25</v>
      </c>
      <c r="C553" s="5">
        <v>120</v>
      </c>
      <c r="D553" s="9">
        <v>16.234000000000002</v>
      </c>
      <c r="E553" s="9">
        <v>7.7967000000000004</v>
      </c>
      <c r="F553" s="11">
        <v>0.48026999999999997</v>
      </c>
      <c r="G553" s="12">
        <f t="shared" si="40"/>
        <v>1.4000006169763799</v>
      </c>
      <c r="H553" s="1">
        <v>1.328E-3</v>
      </c>
      <c r="I553" s="2">
        <f t="shared" si="41"/>
        <v>-2.8768019249680012</v>
      </c>
      <c r="J553" s="2">
        <f t="shared" si="42"/>
        <v>-1.4768013079916213</v>
      </c>
      <c r="K553" s="1">
        <f t="shared" si="43"/>
        <v>29.977907002009299</v>
      </c>
      <c r="L553" s="17">
        <f t="shared" si="44"/>
        <v>18.009200062468075</v>
      </c>
    </row>
    <row r="554" spans="1:12" x14ac:dyDescent="0.3">
      <c r="A554" s="9">
        <v>31.622800000000002</v>
      </c>
      <c r="B554" s="10" t="s">
        <v>25</v>
      </c>
      <c r="C554" s="5">
        <v>120</v>
      </c>
      <c r="D554" s="9">
        <v>17.405000000000001</v>
      </c>
      <c r="E554" s="9">
        <v>8.6488999999999994</v>
      </c>
      <c r="F554" s="11">
        <v>0.49692999999999998</v>
      </c>
      <c r="G554" s="12">
        <f t="shared" si="40"/>
        <v>1.5000003213429354</v>
      </c>
      <c r="H554" s="1">
        <v>1.328E-3</v>
      </c>
      <c r="I554" s="2">
        <f t="shared" si="41"/>
        <v>-2.8768019249680012</v>
      </c>
      <c r="J554" s="2">
        <f t="shared" si="42"/>
        <v>-1.3768016036250659</v>
      </c>
      <c r="K554" s="1">
        <f t="shared" si="43"/>
        <v>23.812314159175376</v>
      </c>
      <c r="L554" s="17">
        <f t="shared" si="44"/>
        <v>19.43547005374452</v>
      </c>
    </row>
    <row r="555" spans="1:12" x14ac:dyDescent="0.3">
      <c r="A555" s="9">
        <v>39.810699999999997</v>
      </c>
      <c r="B555" s="10" t="s">
        <v>25</v>
      </c>
      <c r="C555" s="5">
        <v>120</v>
      </c>
      <c r="D555" s="9">
        <v>18.677</v>
      </c>
      <c r="E555" s="9">
        <v>9.5729000000000006</v>
      </c>
      <c r="F555" s="11">
        <v>0.51256000000000002</v>
      </c>
      <c r="G555" s="12">
        <f t="shared" si="40"/>
        <v>1.5999998139434199</v>
      </c>
      <c r="H555" s="1">
        <v>1.328E-3</v>
      </c>
      <c r="I555" s="2">
        <f t="shared" si="41"/>
        <v>-2.8768019249680012</v>
      </c>
      <c r="J555" s="2">
        <f t="shared" si="42"/>
        <v>-1.2768021110245813</v>
      </c>
      <c r="K555" s="1">
        <f t="shared" si="43"/>
        <v>18.914815569501954</v>
      </c>
      <c r="L555" s="17">
        <f t="shared" si="44"/>
        <v>20.987394869540147</v>
      </c>
    </row>
    <row r="556" spans="1:12" x14ac:dyDescent="0.3">
      <c r="A556" s="9">
        <v>50.1188</v>
      </c>
      <c r="B556" s="10" t="s">
        <v>25</v>
      </c>
      <c r="C556" s="5">
        <v>120</v>
      </c>
      <c r="D556" s="9">
        <v>20.07</v>
      </c>
      <c r="E556" s="9">
        <v>10.577</v>
      </c>
      <c r="F556" s="11">
        <v>0.52700000000000002</v>
      </c>
      <c r="G556" s="12">
        <f t="shared" si="40"/>
        <v>1.7000006640855352</v>
      </c>
      <c r="H556" s="1">
        <v>1.328E-3</v>
      </c>
      <c r="I556" s="2">
        <f t="shared" si="41"/>
        <v>-2.8768019249680012</v>
      </c>
      <c r="J556" s="2">
        <f t="shared" si="42"/>
        <v>-1.1768012608824661</v>
      </c>
      <c r="K556" s="1">
        <f t="shared" si="43"/>
        <v>15.024542650517793</v>
      </c>
      <c r="L556" s="17">
        <f t="shared" si="44"/>
        <v>22.686512050114711</v>
      </c>
    </row>
    <row r="557" spans="1:12" x14ac:dyDescent="0.3">
      <c r="A557" s="9">
        <v>63.095799999999997</v>
      </c>
      <c r="B557" s="10" t="s">
        <v>25</v>
      </c>
      <c r="C557" s="5">
        <v>120</v>
      </c>
      <c r="D557" s="9">
        <v>21.622</v>
      </c>
      <c r="E557" s="9">
        <v>11.606999999999999</v>
      </c>
      <c r="F557" s="11">
        <v>0.53681999999999996</v>
      </c>
      <c r="G557" s="12">
        <f t="shared" si="40"/>
        <v>1.800000451200845</v>
      </c>
      <c r="H557" s="1">
        <v>1.328E-3</v>
      </c>
      <c r="I557" s="2">
        <f t="shared" si="41"/>
        <v>-2.8768019249680012</v>
      </c>
      <c r="J557" s="2">
        <f t="shared" si="42"/>
        <v>-1.0768014737671563</v>
      </c>
      <c r="K557" s="1">
        <f t="shared" si="43"/>
        <v>11.934424291201177</v>
      </c>
      <c r="L557" s="17">
        <f t="shared" si="44"/>
        <v>24.54044280366595</v>
      </c>
    </row>
    <row r="558" spans="1:12" x14ac:dyDescent="0.3">
      <c r="A558" s="9">
        <v>79.432900000000004</v>
      </c>
      <c r="B558" s="10" t="s">
        <v>25</v>
      </c>
      <c r="C558" s="5">
        <v>120</v>
      </c>
      <c r="D558" s="9">
        <v>23.295999999999999</v>
      </c>
      <c r="E558" s="9">
        <v>12.69</v>
      </c>
      <c r="F558" s="11">
        <v>0.54471000000000003</v>
      </c>
      <c r="G558" s="12">
        <f t="shared" si="40"/>
        <v>1.900000418409981</v>
      </c>
      <c r="H558" s="1">
        <v>1.328E-3</v>
      </c>
      <c r="I558" s="2">
        <f t="shared" si="41"/>
        <v>-2.8768019249680012</v>
      </c>
      <c r="J558" s="2">
        <f t="shared" si="42"/>
        <v>-0.97680150655802023</v>
      </c>
      <c r="K558" s="1">
        <f t="shared" si="43"/>
        <v>9.4798508954447236</v>
      </c>
      <c r="L558" s="17">
        <f t="shared" si="44"/>
        <v>26.528092958220725</v>
      </c>
    </row>
    <row r="559" spans="1:12" x14ac:dyDescent="0.3">
      <c r="A559" s="9">
        <v>100</v>
      </c>
      <c r="B559" s="10" t="s">
        <v>25</v>
      </c>
      <c r="C559" s="5">
        <v>120</v>
      </c>
      <c r="D559" s="9">
        <v>25.120999999999999</v>
      </c>
      <c r="E559" s="9">
        <v>13.888999999999999</v>
      </c>
      <c r="F559" s="11">
        <v>0.55284999999999995</v>
      </c>
      <c r="G559" s="12">
        <f t="shared" si="40"/>
        <v>2</v>
      </c>
      <c r="H559" s="1">
        <v>1.328E-3</v>
      </c>
      <c r="I559" s="2">
        <f t="shared" si="41"/>
        <v>-2.8768019249680012</v>
      </c>
      <c r="J559" s="2">
        <f t="shared" si="42"/>
        <v>-0.87680192496800125</v>
      </c>
      <c r="K559" s="1">
        <f t="shared" si="43"/>
        <v>7.5301204819277121</v>
      </c>
      <c r="L559" s="17">
        <f t="shared" si="44"/>
        <v>28.70485955374107</v>
      </c>
    </row>
    <row r="560" spans="1:12" x14ac:dyDescent="0.3">
      <c r="A560" s="4">
        <v>0.1</v>
      </c>
      <c r="B560" s="5" t="s">
        <v>26</v>
      </c>
      <c r="C560" s="5">
        <v>130</v>
      </c>
      <c r="D560" s="4">
        <v>6.5758999999999999</v>
      </c>
      <c r="E560" s="4">
        <v>0.18717</v>
      </c>
      <c r="F560" s="6">
        <v>2.8459999999999999E-2</v>
      </c>
      <c r="G560" s="7">
        <f t="shared" si="40"/>
        <v>-1</v>
      </c>
      <c r="H560" s="1">
        <v>9.3200000000000002E-5</v>
      </c>
      <c r="I560" s="2">
        <f t="shared" si="41"/>
        <v>-4.0305840876460186</v>
      </c>
      <c r="J560" s="2">
        <f t="shared" si="42"/>
        <v>-5.0305840876460186</v>
      </c>
      <c r="K560" s="1">
        <f t="shared" si="43"/>
        <v>107296.13733905593</v>
      </c>
      <c r="L560" s="17">
        <f t="shared" si="44"/>
        <v>6.5785631728288507</v>
      </c>
    </row>
    <row r="561" spans="1:12" x14ac:dyDescent="0.3">
      <c r="A561" s="4">
        <v>0.12589</v>
      </c>
      <c r="B561" s="5" t="s">
        <v>26</v>
      </c>
      <c r="C561" s="5">
        <v>130</v>
      </c>
      <c r="D561" s="4">
        <v>6.3276000000000003</v>
      </c>
      <c r="E561" s="4">
        <v>4.3004599999999997E-2</v>
      </c>
      <c r="F561" s="6">
        <v>6.7999999999999996E-3</v>
      </c>
      <c r="G561" s="7">
        <f t="shared" si="40"/>
        <v>-0.90000876645531558</v>
      </c>
      <c r="H561" s="1">
        <v>9.3200000000000002E-5</v>
      </c>
      <c r="I561" s="2">
        <f t="shared" si="41"/>
        <v>-4.0305840876460186</v>
      </c>
      <c r="J561" s="2">
        <f t="shared" si="42"/>
        <v>-4.9305928541013344</v>
      </c>
      <c r="K561" s="1">
        <f t="shared" si="43"/>
        <v>85230.071760311388</v>
      </c>
      <c r="L561" s="17">
        <f t="shared" si="44"/>
        <v>6.327746135522597</v>
      </c>
    </row>
    <row r="562" spans="1:12" x14ac:dyDescent="0.3">
      <c r="A562" s="4">
        <v>0.15848999999999999</v>
      </c>
      <c r="B562" s="5" t="s">
        <v>26</v>
      </c>
      <c r="C562" s="5">
        <v>130</v>
      </c>
      <c r="D562" s="4">
        <v>6.2736999999999998</v>
      </c>
      <c r="E562" s="4">
        <v>9.9353700000000003E-2</v>
      </c>
      <c r="F562" s="6">
        <v>1.584E-2</v>
      </c>
      <c r="G562" s="7">
        <f t="shared" si="40"/>
        <v>-0.79999813459339819</v>
      </c>
      <c r="H562" s="1">
        <v>9.3200000000000002E-5</v>
      </c>
      <c r="I562" s="2">
        <f t="shared" si="41"/>
        <v>-4.0305840876460186</v>
      </c>
      <c r="J562" s="2">
        <f t="shared" si="42"/>
        <v>-4.8305822222394168</v>
      </c>
      <c r="K562" s="1">
        <f t="shared" si="43"/>
        <v>67698.995103196386</v>
      </c>
      <c r="L562" s="17">
        <f t="shared" si="44"/>
        <v>6.2744866600944889</v>
      </c>
    </row>
    <row r="563" spans="1:12" x14ac:dyDescent="0.3">
      <c r="A563" s="4">
        <v>0.19953000000000001</v>
      </c>
      <c r="B563" s="5" t="s">
        <v>26</v>
      </c>
      <c r="C563" s="5">
        <v>130</v>
      </c>
      <c r="D563" s="4">
        <v>6.2896000000000001</v>
      </c>
      <c r="E563" s="4">
        <v>8.94007E-2</v>
      </c>
      <c r="F563" s="6">
        <v>1.421E-2</v>
      </c>
      <c r="G563" s="7">
        <f t="shared" si="40"/>
        <v>-0.69999179744618689</v>
      </c>
      <c r="H563" s="1">
        <v>9.3200000000000002E-5</v>
      </c>
      <c r="I563" s="2">
        <f t="shared" si="41"/>
        <v>-4.0305840876460186</v>
      </c>
      <c r="J563" s="2">
        <f t="shared" si="42"/>
        <v>-4.7305758850922057</v>
      </c>
      <c r="K563" s="1">
        <f t="shared" si="43"/>
        <v>53774.43860023858</v>
      </c>
      <c r="L563" s="17">
        <f t="shared" si="44"/>
        <v>6.2902353409996108</v>
      </c>
    </row>
    <row r="564" spans="1:12" x14ac:dyDescent="0.3">
      <c r="A564" s="4">
        <v>0.25119000000000002</v>
      </c>
      <c r="B564" s="5" t="s">
        <v>26</v>
      </c>
      <c r="C564" s="5">
        <v>130</v>
      </c>
      <c r="D564" s="4">
        <v>6.3059000000000003</v>
      </c>
      <c r="E564" s="4">
        <v>0.12812000000000001</v>
      </c>
      <c r="F564" s="6">
        <v>2.0320000000000001E-2</v>
      </c>
      <c r="G564" s="7">
        <f t="shared" si="40"/>
        <v>-0.59999765407204408</v>
      </c>
      <c r="H564" s="1">
        <v>9.3200000000000002E-5</v>
      </c>
      <c r="I564" s="2">
        <f t="shared" si="41"/>
        <v>-4.0305840876460186</v>
      </c>
      <c r="J564" s="2">
        <f t="shared" si="42"/>
        <v>-4.6305817417180624</v>
      </c>
      <c r="K564" s="1">
        <f t="shared" si="43"/>
        <v>42715.130912478926</v>
      </c>
      <c r="L564" s="17">
        <f t="shared" si="44"/>
        <v>6.3072014035069479</v>
      </c>
    </row>
    <row r="565" spans="1:12" x14ac:dyDescent="0.3">
      <c r="A565" s="4">
        <v>0.31623000000000001</v>
      </c>
      <c r="B565" s="5" t="s">
        <v>26</v>
      </c>
      <c r="C565" s="5">
        <v>130</v>
      </c>
      <c r="D565" s="4">
        <v>6.3392999999999997</v>
      </c>
      <c r="E565" s="4">
        <v>0.17226</v>
      </c>
      <c r="F565" s="6">
        <v>2.717E-2</v>
      </c>
      <c r="G565" s="7">
        <f t="shared" si="40"/>
        <v>-0.4999969319483068</v>
      </c>
      <c r="H565" s="1">
        <v>9.3200000000000002E-5</v>
      </c>
      <c r="I565" s="2">
        <f t="shared" si="41"/>
        <v>-4.0305840876460186</v>
      </c>
      <c r="J565" s="2">
        <f t="shared" si="42"/>
        <v>-4.530581019594325</v>
      </c>
      <c r="K565" s="1">
        <f t="shared" si="43"/>
        <v>33929.778116894617</v>
      </c>
      <c r="L565" s="17">
        <f t="shared" si="44"/>
        <v>6.3416400085151476</v>
      </c>
    </row>
    <row r="566" spans="1:12" x14ac:dyDescent="0.3">
      <c r="A566" s="4">
        <v>0.39811000000000002</v>
      </c>
      <c r="B566" s="5" t="s">
        <v>26</v>
      </c>
      <c r="C566" s="5">
        <v>130</v>
      </c>
      <c r="D566" s="4">
        <v>6.3788</v>
      </c>
      <c r="E566" s="4">
        <v>0.17504</v>
      </c>
      <c r="F566" s="6">
        <v>2.7439999999999999E-2</v>
      </c>
      <c r="G566" s="7">
        <f t="shared" si="40"/>
        <v>-0.39999691337225962</v>
      </c>
      <c r="H566" s="1">
        <v>9.3200000000000002E-5</v>
      </c>
      <c r="I566" s="2">
        <f t="shared" si="41"/>
        <v>-4.0305840876460186</v>
      </c>
      <c r="J566" s="2">
        <f t="shared" si="42"/>
        <v>-4.430581001018278</v>
      </c>
      <c r="K566" s="1">
        <f t="shared" si="43"/>
        <v>26951.379603389982</v>
      </c>
      <c r="L566" s="17">
        <f t="shared" si="44"/>
        <v>6.3812011754527846</v>
      </c>
    </row>
    <row r="567" spans="1:12" x14ac:dyDescent="0.3">
      <c r="A567" s="4">
        <v>0.50119000000000002</v>
      </c>
      <c r="B567" s="5" t="s">
        <v>26</v>
      </c>
      <c r="C567" s="5">
        <v>130</v>
      </c>
      <c r="D567" s="4">
        <v>6.4245000000000001</v>
      </c>
      <c r="E567" s="4">
        <v>0.22769</v>
      </c>
      <c r="F567" s="6">
        <v>3.5439999999999999E-2</v>
      </c>
      <c r="G567" s="7">
        <f t="shared" si="40"/>
        <v>-0.29999760285774607</v>
      </c>
      <c r="H567" s="1">
        <v>9.3200000000000002E-5</v>
      </c>
      <c r="I567" s="2">
        <f t="shared" si="41"/>
        <v>-4.0305840876460186</v>
      </c>
      <c r="J567" s="2">
        <f t="shared" si="42"/>
        <v>-4.3305816905037648</v>
      </c>
      <c r="K567" s="1">
        <f t="shared" si="43"/>
        <v>21408.275771475091</v>
      </c>
      <c r="L567" s="17">
        <f t="shared" si="44"/>
        <v>6.4285335019816143</v>
      </c>
    </row>
    <row r="568" spans="1:12" x14ac:dyDescent="0.3">
      <c r="A568" s="4">
        <v>0.63095999999999997</v>
      </c>
      <c r="B568" s="5" t="s">
        <v>26</v>
      </c>
      <c r="C568" s="5">
        <v>130</v>
      </c>
      <c r="D568" s="4">
        <v>6.4806999999999997</v>
      </c>
      <c r="E568" s="4">
        <v>0.26790999999999998</v>
      </c>
      <c r="F568" s="6">
        <v>4.1340000000000002E-2</v>
      </c>
      <c r="G568" s="7">
        <f t="shared" si="40"/>
        <v>-0.19999817218203128</v>
      </c>
      <c r="H568" s="1">
        <v>9.3200000000000002E-5</v>
      </c>
      <c r="I568" s="2">
        <f t="shared" si="41"/>
        <v>-4.0305840876460186</v>
      </c>
      <c r="J568" s="2">
        <f t="shared" si="42"/>
        <v>-4.2305822598280498</v>
      </c>
      <c r="K568" s="1">
        <f t="shared" si="43"/>
        <v>17005.220194474419</v>
      </c>
      <c r="L568" s="17">
        <f t="shared" si="44"/>
        <v>6.4862352916079136</v>
      </c>
    </row>
    <row r="569" spans="1:12" x14ac:dyDescent="0.3">
      <c r="A569" s="4">
        <v>0.79432999999999998</v>
      </c>
      <c r="B569" s="5" t="s">
        <v>26</v>
      </c>
      <c r="C569" s="5">
        <v>130</v>
      </c>
      <c r="D569" s="4">
        <v>6.5296000000000003</v>
      </c>
      <c r="E569" s="4">
        <v>0.31291000000000002</v>
      </c>
      <c r="F569" s="6">
        <v>4.7919999999999997E-2</v>
      </c>
      <c r="G569" s="7">
        <f t="shared" si="40"/>
        <v>-9.9999034846530471E-2</v>
      </c>
      <c r="H569" s="1">
        <v>9.3200000000000002E-5</v>
      </c>
      <c r="I569" s="2">
        <f t="shared" si="41"/>
        <v>-4.0305840876460186</v>
      </c>
      <c r="J569" s="2">
        <f t="shared" si="42"/>
        <v>-4.1305831224925491</v>
      </c>
      <c r="K569" s="1">
        <f t="shared" si="43"/>
        <v>13507.753369387527</v>
      </c>
      <c r="L569" s="17">
        <f t="shared" si="44"/>
        <v>6.5370933011622228</v>
      </c>
    </row>
    <row r="570" spans="1:12" x14ac:dyDescent="0.3">
      <c r="A570" s="4">
        <v>1</v>
      </c>
      <c r="B570" s="5" t="s">
        <v>26</v>
      </c>
      <c r="C570" s="5">
        <v>130</v>
      </c>
      <c r="D570" s="4">
        <v>6.5871000000000004</v>
      </c>
      <c r="E570" s="4">
        <v>0.36693999999999999</v>
      </c>
      <c r="F570" s="6">
        <v>5.5710000000000003E-2</v>
      </c>
      <c r="G570" s="7">
        <f t="shared" si="40"/>
        <v>0</v>
      </c>
      <c r="H570" s="1">
        <v>9.3200000000000002E-5</v>
      </c>
      <c r="I570" s="2">
        <f t="shared" si="41"/>
        <v>-4.0305840876460186</v>
      </c>
      <c r="J570" s="2">
        <f t="shared" si="42"/>
        <v>-4.0305840876460186</v>
      </c>
      <c r="K570" s="1">
        <f t="shared" si="43"/>
        <v>10729.613733905579</v>
      </c>
      <c r="L570" s="17">
        <f t="shared" si="44"/>
        <v>6.5973124356513546</v>
      </c>
    </row>
    <row r="571" spans="1:12" x14ac:dyDescent="0.3">
      <c r="A571" s="4">
        <v>1.2589300000000001</v>
      </c>
      <c r="B571" s="5" t="s">
        <v>26</v>
      </c>
      <c r="C571" s="5">
        <v>130</v>
      </c>
      <c r="D571" s="4">
        <v>6.6769999999999996</v>
      </c>
      <c r="E571" s="4">
        <v>0.42893999999999999</v>
      </c>
      <c r="F571" s="6">
        <v>6.4240000000000005E-2</v>
      </c>
      <c r="G571" s="7">
        <f t="shared" si="40"/>
        <v>0.10000158280135207</v>
      </c>
      <c r="H571" s="1">
        <v>9.3200000000000002E-5</v>
      </c>
      <c r="I571" s="2">
        <f t="shared" si="41"/>
        <v>-4.0305840876460186</v>
      </c>
      <c r="J571" s="2">
        <f t="shared" si="42"/>
        <v>-3.9305825048446668</v>
      </c>
      <c r="K571" s="1">
        <f t="shared" si="43"/>
        <v>8522.8040748140011</v>
      </c>
      <c r="L571" s="17">
        <f t="shared" si="44"/>
        <v>6.6907636726759367</v>
      </c>
    </row>
    <row r="572" spans="1:12" x14ac:dyDescent="0.3">
      <c r="A572" s="4">
        <v>1.5848899999999999</v>
      </c>
      <c r="B572" s="5" t="s">
        <v>26</v>
      </c>
      <c r="C572" s="5">
        <v>130</v>
      </c>
      <c r="D572" s="4">
        <v>6.7512999999999996</v>
      </c>
      <c r="E572" s="4">
        <v>0.51666999999999996</v>
      </c>
      <c r="F572" s="6">
        <v>7.6530000000000001E-2</v>
      </c>
      <c r="G572" s="7">
        <f t="shared" si="40"/>
        <v>0.19999912519679666</v>
      </c>
      <c r="H572" s="1">
        <v>9.3200000000000002E-5</v>
      </c>
      <c r="I572" s="2">
        <f t="shared" si="41"/>
        <v>-4.0305840876460186</v>
      </c>
      <c r="J572" s="2">
        <f t="shared" si="42"/>
        <v>-3.8305849624492221</v>
      </c>
      <c r="K572" s="1">
        <f t="shared" si="43"/>
        <v>6769.942225583849</v>
      </c>
      <c r="L572" s="17">
        <f t="shared" si="44"/>
        <v>6.7710412477624145</v>
      </c>
    </row>
    <row r="573" spans="1:12" x14ac:dyDescent="0.3">
      <c r="A573" s="4">
        <v>1.99526</v>
      </c>
      <c r="B573" s="5" t="s">
        <v>26</v>
      </c>
      <c r="C573" s="5">
        <v>130</v>
      </c>
      <c r="D573" s="4">
        <v>6.8388999999999998</v>
      </c>
      <c r="E573" s="4">
        <v>0.57755999999999996</v>
      </c>
      <c r="F573" s="6">
        <v>8.4449999999999997E-2</v>
      </c>
      <c r="G573" s="7">
        <f t="shared" si="40"/>
        <v>0.29999949611698379</v>
      </c>
      <c r="H573" s="1">
        <v>9.3200000000000002E-5</v>
      </c>
      <c r="I573" s="2">
        <f t="shared" si="41"/>
        <v>-4.0305840876460186</v>
      </c>
      <c r="J573" s="2">
        <f t="shared" si="42"/>
        <v>-3.730584591529035</v>
      </c>
      <c r="K573" s="1">
        <f t="shared" si="43"/>
        <v>5377.551664397417</v>
      </c>
      <c r="L573" s="17">
        <f t="shared" si="44"/>
        <v>6.8632447693201204</v>
      </c>
    </row>
    <row r="574" spans="1:12" x14ac:dyDescent="0.3">
      <c r="A574" s="4">
        <v>2.5118900000000002</v>
      </c>
      <c r="B574" s="5" t="s">
        <v>26</v>
      </c>
      <c r="C574" s="5">
        <v>130</v>
      </c>
      <c r="D574" s="4">
        <v>6.9496000000000002</v>
      </c>
      <c r="E574" s="4">
        <v>0.66108999999999996</v>
      </c>
      <c r="F574" s="6">
        <v>9.5130000000000006E-2</v>
      </c>
      <c r="G574" s="7">
        <f t="shared" si="40"/>
        <v>0.40000061697637995</v>
      </c>
      <c r="H574" s="1">
        <v>9.3200000000000002E-5</v>
      </c>
      <c r="I574" s="2">
        <f t="shared" si="41"/>
        <v>-4.0305840876460186</v>
      </c>
      <c r="J574" s="2">
        <f t="shared" si="42"/>
        <v>-3.6305834706696385</v>
      </c>
      <c r="K574" s="1">
        <f t="shared" si="43"/>
        <v>4271.530096423643</v>
      </c>
      <c r="L574" s="17">
        <f t="shared" si="44"/>
        <v>6.980972722199966</v>
      </c>
    </row>
    <row r="575" spans="1:12" x14ac:dyDescent="0.3">
      <c r="A575" s="4">
        <v>3.16228</v>
      </c>
      <c r="B575" s="5" t="s">
        <v>26</v>
      </c>
      <c r="C575" s="5">
        <v>130</v>
      </c>
      <c r="D575" s="4">
        <v>7.0690999999999997</v>
      </c>
      <c r="E575" s="4">
        <v>0.77332999999999996</v>
      </c>
      <c r="F575" s="6">
        <v>0.1094</v>
      </c>
      <c r="G575" s="7">
        <f t="shared" si="40"/>
        <v>0.50000032134293526</v>
      </c>
      <c r="H575" s="1">
        <v>9.3200000000000002E-5</v>
      </c>
      <c r="I575" s="2">
        <f t="shared" si="41"/>
        <v>-4.0305840876460186</v>
      </c>
      <c r="J575" s="2">
        <f t="shared" si="42"/>
        <v>-3.5305837663030832</v>
      </c>
      <c r="K575" s="1">
        <f t="shared" si="43"/>
        <v>3392.999270749453</v>
      </c>
      <c r="L575" s="17">
        <f t="shared" si="44"/>
        <v>7.1112737325249968</v>
      </c>
    </row>
    <row r="576" spans="1:12" x14ac:dyDescent="0.3">
      <c r="A576" s="4">
        <v>3.9810699999999999</v>
      </c>
      <c r="B576" s="5" t="s">
        <v>26</v>
      </c>
      <c r="C576" s="5">
        <v>130</v>
      </c>
      <c r="D576" s="4">
        <v>7.1840999999999999</v>
      </c>
      <c r="E576" s="4">
        <v>0.87107999999999997</v>
      </c>
      <c r="F576" s="6">
        <v>0.12125</v>
      </c>
      <c r="G576" s="7">
        <f t="shared" si="40"/>
        <v>0.59999981394342006</v>
      </c>
      <c r="H576" s="1">
        <v>9.3200000000000002E-5</v>
      </c>
      <c r="I576" s="2">
        <f t="shared" si="41"/>
        <v>-4.0305840876460186</v>
      </c>
      <c r="J576" s="2">
        <f t="shared" si="42"/>
        <v>-3.4305842737025984</v>
      </c>
      <c r="K576" s="1">
        <f t="shared" si="43"/>
        <v>2695.1582699891196</v>
      </c>
      <c r="L576" s="17">
        <f t="shared" si="44"/>
        <v>7.2367170164654082</v>
      </c>
    </row>
    <row r="577" spans="1:12" x14ac:dyDescent="0.3">
      <c r="A577" s="4">
        <v>5.01187</v>
      </c>
      <c r="B577" s="5" t="s">
        <v>26</v>
      </c>
      <c r="C577" s="5">
        <v>130</v>
      </c>
      <c r="D577" s="4">
        <v>7.2999000000000001</v>
      </c>
      <c r="E577" s="4">
        <v>0.98314000000000001</v>
      </c>
      <c r="F577" s="6">
        <v>0.13467999999999999</v>
      </c>
      <c r="G577" s="7">
        <f t="shared" si="40"/>
        <v>0.69999979755458241</v>
      </c>
      <c r="H577" s="1">
        <v>9.3200000000000002E-5</v>
      </c>
      <c r="I577" s="2">
        <f t="shared" si="41"/>
        <v>-4.0305840876460186</v>
      </c>
      <c r="J577" s="2">
        <f t="shared" si="42"/>
        <v>-3.3305842900914362</v>
      </c>
      <c r="K577" s="1">
        <f t="shared" si="43"/>
        <v>2140.840391691243</v>
      </c>
      <c r="L577" s="17">
        <f t="shared" si="44"/>
        <v>7.3658064235764433</v>
      </c>
    </row>
    <row r="578" spans="1:12" x14ac:dyDescent="0.3">
      <c r="A578" s="4">
        <v>6.3095800000000004</v>
      </c>
      <c r="B578" s="5" t="s">
        <v>26</v>
      </c>
      <c r="C578" s="5">
        <v>130</v>
      </c>
      <c r="D578" s="4">
        <v>7.4710000000000001</v>
      </c>
      <c r="E578" s="4">
        <v>1.1208</v>
      </c>
      <c r="F578" s="6">
        <v>0.15001999999999999</v>
      </c>
      <c r="G578" s="7">
        <f t="shared" si="40"/>
        <v>0.80000045120084495</v>
      </c>
      <c r="H578" s="1">
        <v>9.3200000000000002E-5</v>
      </c>
      <c r="I578" s="2">
        <f t="shared" si="41"/>
        <v>-4.0305840876460186</v>
      </c>
      <c r="J578" s="2">
        <f t="shared" si="42"/>
        <v>-3.2305836364451737</v>
      </c>
      <c r="K578" s="1">
        <f t="shared" si="43"/>
        <v>1700.5274097333865</v>
      </c>
      <c r="L578" s="17">
        <f t="shared" si="44"/>
        <v>7.5546034733796583</v>
      </c>
    </row>
    <row r="579" spans="1:12" x14ac:dyDescent="0.3">
      <c r="A579" s="4">
        <v>7.9432900000000002</v>
      </c>
      <c r="B579" s="5" t="s">
        <v>26</v>
      </c>
      <c r="C579" s="5">
        <v>130</v>
      </c>
      <c r="D579" s="4">
        <v>7.6426999999999996</v>
      </c>
      <c r="E579" s="4">
        <v>1.2659</v>
      </c>
      <c r="F579" s="6">
        <v>0.16564000000000001</v>
      </c>
      <c r="G579" s="7">
        <f t="shared" ref="G579:G642" si="45">LOG(A579)</f>
        <v>0.90000041840998102</v>
      </c>
      <c r="H579" s="1">
        <v>9.3200000000000002E-5</v>
      </c>
      <c r="I579" s="2">
        <f t="shared" ref="I579:I642" si="46">LOG(H579)</f>
        <v>-4.0305840876460186</v>
      </c>
      <c r="J579" s="2">
        <f t="shared" ref="J579:J642" si="47">G579+I579</f>
        <v>-3.1305836692360378</v>
      </c>
      <c r="K579" s="1">
        <f t="shared" ref="K579:K642" si="48">1/10^J579</f>
        <v>1350.7770374625111</v>
      </c>
      <c r="L579" s="17">
        <f t="shared" ref="L579:L642" si="49">SQRT(D579^2+E579^2)</f>
        <v>7.74682942241534</v>
      </c>
    </row>
    <row r="580" spans="1:12" x14ac:dyDescent="0.3">
      <c r="A580" s="4">
        <v>10</v>
      </c>
      <c r="B580" s="5" t="s">
        <v>26</v>
      </c>
      <c r="C580" s="5">
        <v>130</v>
      </c>
      <c r="D580" s="4">
        <v>7.8509000000000002</v>
      </c>
      <c r="E580" s="4">
        <v>1.4253</v>
      </c>
      <c r="F580" s="6">
        <v>0.18154000000000001</v>
      </c>
      <c r="G580" s="7">
        <f t="shared" si="45"/>
        <v>1</v>
      </c>
      <c r="H580" s="1">
        <v>9.3200000000000002E-5</v>
      </c>
      <c r="I580" s="2">
        <f t="shared" si="46"/>
        <v>-4.0305840876460186</v>
      </c>
      <c r="J580" s="2">
        <f t="shared" si="47"/>
        <v>-3.0305840876460186</v>
      </c>
      <c r="K580" s="1">
        <f t="shared" si="48"/>
        <v>1072.9613733905587</v>
      </c>
      <c r="L580" s="17">
        <f t="shared" si="49"/>
        <v>7.979229969113562</v>
      </c>
    </row>
    <row r="581" spans="1:12" x14ac:dyDescent="0.3">
      <c r="A581" s="4">
        <v>12.5893</v>
      </c>
      <c r="B581" s="5" t="s">
        <v>26</v>
      </c>
      <c r="C581" s="5">
        <v>130</v>
      </c>
      <c r="D581" s="4">
        <v>8.0626999999999995</v>
      </c>
      <c r="E581" s="4">
        <v>1.6177999999999999</v>
      </c>
      <c r="F581" s="6">
        <v>0.20066000000000001</v>
      </c>
      <c r="G581" s="7">
        <f t="shared" si="45"/>
        <v>1.1000015828013521</v>
      </c>
      <c r="H581" s="1">
        <v>9.3200000000000002E-5</v>
      </c>
      <c r="I581" s="2">
        <f t="shared" si="46"/>
        <v>-4.0305840876460186</v>
      </c>
      <c r="J581" s="2">
        <f t="shared" si="47"/>
        <v>-2.9305825048446668</v>
      </c>
      <c r="K581" s="1">
        <f t="shared" si="48"/>
        <v>852.28040748139983</v>
      </c>
      <c r="L581" s="17">
        <f t="shared" si="49"/>
        <v>8.223406114865055</v>
      </c>
    </row>
    <row r="582" spans="1:12" x14ac:dyDescent="0.3">
      <c r="A582" s="4">
        <v>15.8489</v>
      </c>
      <c r="B582" s="5" t="s">
        <v>26</v>
      </c>
      <c r="C582" s="5">
        <v>130</v>
      </c>
      <c r="D582" s="4">
        <v>8.2871000000000006</v>
      </c>
      <c r="E582" s="4">
        <v>1.8161</v>
      </c>
      <c r="F582" s="6">
        <v>0.21914</v>
      </c>
      <c r="G582" s="7">
        <f t="shared" si="45"/>
        <v>1.1999991251967967</v>
      </c>
      <c r="H582" s="1">
        <v>9.3200000000000002E-5</v>
      </c>
      <c r="I582" s="2">
        <f t="shared" si="46"/>
        <v>-4.0305840876460186</v>
      </c>
      <c r="J582" s="2">
        <f t="shared" si="47"/>
        <v>-2.8305849624492216</v>
      </c>
      <c r="K582" s="1">
        <f t="shared" si="48"/>
        <v>676.99422255838408</v>
      </c>
      <c r="L582" s="17">
        <f t="shared" si="49"/>
        <v>8.4837636471085176</v>
      </c>
    </row>
    <row r="583" spans="1:12" x14ac:dyDescent="0.3">
      <c r="A583" s="4">
        <v>19.9526</v>
      </c>
      <c r="B583" s="5" t="s">
        <v>26</v>
      </c>
      <c r="C583" s="5">
        <v>130</v>
      </c>
      <c r="D583" s="4">
        <v>8.5747</v>
      </c>
      <c r="E583" s="4">
        <v>2.0255999999999998</v>
      </c>
      <c r="F583" s="6">
        <v>0.23622000000000001</v>
      </c>
      <c r="G583" s="7">
        <f t="shared" si="45"/>
        <v>1.2999994961169838</v>
      </c>
      <c r="H583" s="1">
        <v>9.3200000000000002E-5</v>
      </c>
      <c r="I583" s="2">
        <f t="shared" si="46"/>
        <v>-4.0305840876460186</v>
      </c>
      <c r="J583" s="2">
        <f t="shared" si="47"/>
        <v>-2.730584591529035</v>
      </c>
      <c r="K583" s="1">
        <f t="shared" si="48"/>
        <v>537.75516643974163</v>
      </c>
      <c r="L583" s="17">
        <f t="shared" si="49"/>
        <v>8.8107057293953481</v>
      </c>
    </row>
    <row r="584" spans="1:12" x14ac:dyDescent="0.3">
      <c r="A584" s="4">
        <v>25.1189</v>
      </c>
      <c r="B584" s="5" t="s">
        <v>26</v>
      </c>
      <c r="C584" s="5">
        <v>130</v>
      </c>
      <c r="D584" s="4">
        <v>8.8725000000000005</v>
      </c>
      <c r="E584" s="4">
        <v>2.2816000000000001</v>
      </c>
      <c r="F584" s="6">
        <v>0.25716</v>
      </c>
      <c r="G584" s="7">
        <f t="shared" si="45"/>
        <v>1.4000006169763799</v>
      </c>
      <c r="H584" s="1">
        <v>9.3200000000000002E-5</v>
      </c>
      <c r="I584" s="2">
        <f t="shared" si="46"/>
        <v>-4.0305840876460186</v>
      </c>
      <c r="J584" s="2">
        <f t="shared" si="47"/>
        <v>-2.6305834706696389</v>
      </c>
      <c r="K584" s="1">
        <f t="shared" si="48"/>
        <v>427.15300964236457</v>
      </c>
      <c r="L584" s="17">
        <f t="shared" si="49"/>
        <v>9.1611655814093886</v>
      </c>
    </row>
    <row r="585" spans="1:12" x14ac:dyDescent="0.3">
      <c r="A585" s="4">
        <v>31.622800000000002</v>
      </c>
      <c r="B585" s="5" t="s">
        <v>26</v>
      </c>
      <c r="C585" s="5">
        <v>130</v>
      </c>
      <c r="D585" s="4">
        <v>9.1676000000000002</v>
      </c>
      <c r="E585" s="4">
        <v>2.5676000000000001</v>
      </c>
      <c r="F585" s="6">
        <v>0.28006999999999999</v>
      </c>
      <c r="G585" s="7">
        <f t="shared" si="45"/>
        <v>1.5000003213429354</v>
      </c>
      <c r="H585" s="1">
        <v>9.3200000000000002E-5</v>
      </c>
      <c r="I585" s="2">
        <f t="shared" si="46"/>
        <v>-4.0305840876460186</v>
      </c>
      <c r="J585" s="2">
        <f t="shared" si="47"/>
        <v>-2.5305837663030832</v>
      </c>
      <c r="K585" s="1">
        <f t="shared" si="48"/>
        <v>339.29992707494551</v>
      </c>
      <c r="L585" s="17">
        <f t="shared" si="49"/>
        <v>9.5203707658893197</v>
      </c>
    </row>
    <row r="586" spans="1:12" x14ac:dyDescent="0.3">
      <c r="A586" s="4">
        <v>39.810699999999997</v>
      </c>
      <c r="B586" s="5" t="s">
        <v>26</v>
      </c>
      <c r="C586" s="5">
        <v>130</v>
      </c>
      <c r="D586" s="4">
        <v>9.5344999999999995</v>
      </c>
      <c r="E586" s="4">
        <v>2.8441999999999998</v>
      </c>
      <c r="F586" s="6">
        <v>0.29831000000000002</v>
      </c>
      <c r="G586" s="7">
        <f t="shared" si="45"/>
        <v>1.5999998139434199</v>
      </c>
      <c r="H586" s="1">
        <v>9.3200000000000002E-5</v>
      </c>
      <c r="I586" s="2">
        <f t="shared" si="46"/>
        <v>-4.0305840876460186</v>
      </c>
      <c r="J586" s="2">
        <f t="shared" si="47"/>
        <v>-2.4305842737025989</v>
      </c>
      <c r="K586" s="1">
        <f t="shared" si="48"/>
        <v>269.51582699891213</v>
      </c>
      <c r="L586" s="17">
        <f t="shared" si="49"/>
        <v>9.9496815974180794</v>
      </c>
    </row>
    <row r="587" spans="1:12" x14ac:dyDescent="0.3">
      <c r="A587" s="4">
        <v>50.1188</v>
      </c>
      <c r="B587" s="5" t="s">
        <v>26</v>
      </c>
      <c r="C587" s="5">
        <v>130</v>
      </c>
      <c r="D587" s="4">
        <v>9.9314999999999998</v>
      </c>
      <c r="E587" s="4">
        <v>3.1918000000000002</v>
      </c>
      <c r="F587" s="6">
        <v>0.32138</v>
      </c>
      <c r="G587" s="7">
        <f t="shared" si="45"/>
        <v>1.7000006640855352</v>
      </c>
      <c r="H587" s="1">
        <v>9.3200000000000002E-5</v>
      </c>
      <c r="I587" s="2">
        <f t="shared" si="46"/>
        <v>-4.0305840876460186</v>
      </c>
      <c r="J587" s="2">
        <f t="shared" si="47"/>
        <v>-2.3305834235604834</v>
      </c>
      <c r="K587" s="1">
        <f t="shared" si="48"/>
        <v>214.08361201596173</v>
      </c>
      <c r="L587" s="17">
        <f t="shared" si="49"/>
        <v>10.431791767956261</v>
      </c>
    </row>
    <row r="588" spans="1:12" x14ac:dyDescent="0.3">
      <c r="A588" s="4">
        <v>63.095799999999997</v>
      </c>
      <c r="B588" s="5" t="s">
        <v>26</v>
      </c>
      <c r="C588" s="5">
        <v>130</v>
      </c>
      <c r="D588" s="4">
        <v>10.367000000000001</v>
      </c>
      <c r="E588" s="4">
        <v>3.5592000000000001</v>
      </c>
      <c r="F588" s="6">
        <v>0.34333999999999998</v>
      </c>
      <c r="G588" s="7">
        <f t="shared" si="45"/>
        <v>1.800000451200845</v>
      </c>
      <c r="H588" s="1">
        <v>9.3200000000000002E-5</v>
      </c>
      <c r="I588" s="2">
        <f t="shared" si="46"/>
        <v>-4.0305840876460186</v>
      </c>
      <c r="J588" s="2">
        <f t="shared" si="47"/>
        <v>-2.2305836364451737</v>
      </c>
      <c r="K588" s="1">
        <f t="shared" si="48"/>
        <v>170.05274097333864</v>
      </c>
      <c r="L588" s="17">
        <f t="shared" si="49"/>
        <v>10.960957697208762</v>
      </c>
    </row>
    <row r="589" spans="1:12" x14ac:dyDescent="0.3">
      <c r="A589" s="4">
        <v>79.432900000000004</v>
      </c>
      <c r="B589" s="5" t="s">
        <v>26</v>
      </c>
      <c r="C589" s="5">
        <v>130</v>
      </c>
      <c r="D589" s="4">
        <v>10.851000000000001</v>
      </c>
      <c r="E589" s="4">
        <v>3.9803999999999999</v>
      </c>
      <c r="F589" s="6">
        <v>0.36681999999999998</v>
      </c>
      <c r="G589" s="7">
        <f t="shared" si="45"/>
        <v>1.900000418409981</v>
      </c>
      <c r="H589" s="1">
        <v>9.3200000000000002E-5</v>
      </c>
      <c r="I589" s="2">
        <f t="shared" si="46"/>
        <v>-4.0305840876460186</v>
      </c>
      <c r="J589" s="2">
        <f t="shared" si="47"/>
        <v>-2.1305836692360378</v>
      </c>
      <c r="K589" s="1">
        <f t="shared" si="48"/>
        <v>135.07770374625107</v>
      </c>
      <c r="L589" s="17">
        <f t="shared" si="49"/>
        <v>11.558018219400765</v>
      </c>
    </row>
    <row r="590" spans="1:12" x14ac:dyDescent="0.3">
      <c r="A590" s="4">
        <v>100</v>
      </c>
      <c r="B590" s="5" t="s">
        <v>26</v>
      </c>
      <c r="C590" s="5">
        <v>130</v>
      </c>
      <c r="D590" s="4">
        <v>11.425000000000001</v>
      </c>
      <c r="E590" s="4">
        <v>4.4531999999999998</v>
      </c>
      <c r="F590" s="6">
        <v>0.38976</v>
      </c>
      <c r="G590" s="7">
        <f t="shared" si="45"/>
        <v>2</v>
      </c>
      <c r="H590" s="1">
        <v>9.3200000000000002E-5</v>
      </c>
      <c r="I590" s="2">
        <f t="shared" si="46"/>
        <v>-4.0305840876460186</v>
      </c>
      <c r="J590" s="2">
        <f t="shared" si="47"/>
        <v>-2.0305840876460186</v>
      </c>
      <c r="K590" s="1">
        <f t="shared" si="48"/>
        <v>107.29613733905585</v>
      </c>
      <c r="L590" s="17">
        <f t="shared" si="49"/>
        <v>12.262202707507328</v>
      </c>
    </row>
    <row r="591" spans="1:12" x14ac:dyDescent="0.3">
      <c r="A591" s="9">
        <v>0.1</v>
      </c>
      <c r="B591" s="10" t="s">
        <v>27</v>
      </c>
      <c r="C591" s="5">
        <v>140</v>
      </c>
      <c r="D591" s="9">
        <v>6.5155000000000003</v>
      </c>
      <c r="E591" s="9">
        <v>8.2660399999999995E-2</v>
      </c>
      <c r="F591" s="11">
        <v>1.269E-2</v>
      </c>
      <c r="G591" s="12">
        <f t="shared" si="45"/>
        <v>-1</v>
      </c>
      <c r="H591" s="1">
        <v>1.0835999999999999E-5</v>
      </c>
      <c r="I591" s="2">
        <f t="shared" si="46"/>
        <v>-4.9651310036388692</v>
      </c>
      <c r="J591" s="2">
        <f t="shared" si="47"/>
        <v>-5.9651310036388692</v>
      </c>
      <c r="K591" s="1">
        <f t="shared" si="48"/>
        <v>922849.76005906228</v>
      </c>
      <c r="L591" s="17">
        <f t="shared" si="49"/>
        <v>6.5160243240589706</v>
      </c>
    </row>
    <row r="592" spans="1:12" hidden="1" x14ac:dyDescent="0.3">
      <c r="A592" s="9">
        <v>0.12589</v>
      </c>
      <c r="B592" s="10" t="s">
        <v>27</v>
      </c>
      <c r="C592" s="5">
        <v>140</v>
      </c>
      <c r="D592" s="9">
        <v>6.3940999999999999</v>
      </c>
      <c r="E592" s="9">
        <v>-8.3868999999999999E-2</v>
      </c>
      <c r="F592" s="11">
        <v>-1.3100000000000001E-2</v>
      </c>
      <c r="G592" s="12">
        <f t="shared" si="45"/>
        <v>-0.90000876645531558</v>
      </c>
      <c r="H592" s="1">
        <v>1.0835999999999999E-5</v>
      </c>
      <c r="I592" s="2">
        <f t="shared" si="46"/>
        <v>-4.9651310036388692</v>
      </c>
      <c r="J592" s="2">
        <f t="shared" si="47"/>
        <v>-5.865139770094185</v>
      </c>
      <c r="K592" s="1">
        <f t="shared" si="48"/>
        <v>733060.41787200188</v>
      </c>
      <c r="L592" s="17">
        <f t="shared" si="49"/>
        <v>6.3946500153769952</v>
      </c>
    </row>
    <row r="593" spans="1:12" hidden="1" x14ac:dyDescent="0.3">
      <c r="A593" s="9">
        <v>0.15848999999999999</v>
      </c>
      <c r="B593" s="10" t="s">
        <v>27</v>
      </c>
      <c r="C593" s="5">
        <v>140</v>
      </c>
      <c r="D593" s="9">
        <v>6.3178000000000001</v>
      </c>
      <c r="E593" s="9">
        <v>-7.9377000000000003E-2</v>
      </c>
      <c r="F593" s="11">
        <v>-1.26E-2</v>
      </c>
      <c r="G593" s="12">
        <f t="shared" si="45"/>
        <v>-0.79999813459339819</v>
      </c>
      <c r="H593" s="1">
        <v>1.0835999999999999E-5</v>
      </c>
      <c r="I593" s="2">
        <f t="shared" si="46"/>
        <v>-4.9651310036388692</v>
      </c>
      <c r="J593" s="2">
        <f t="shared" si="47"/>
        <v>-5.7651291382322674</v>
      </c>
      <c r="K593" s="1">
        <f t="shared" si="48"/>
        <v>582276.33292893099</v>
      </c>
      <c r="L593" s="17">
        <f t="shared" si="49"/>
        <v>6.3182986276472404</v>
      </c>
    </row>
    <row r="594" spans="1:12" hidden="1" x14ac:dyDescent="0.3">
      <c r="A594" s="9">
        <v>0.19953000000000001</v>
      </c>
      <c r="B594" s="10" t="s">
        <v>27</v>
      </c>
      <c r="C594" s="5">
        <v>140</v>
      </c>
      <c r="D594" s="9">
        <v>6.3080999999999996</v>
      </c>
      <c r="E594" s="9">
        <v>-3.7477999999999997E-2</v>
      </c>
      <c r="F594" s="11">
        <v>-5.8999999999999999E-3</v>
      </c>
      <c r="G594" s="12">
        <f t="shared" si="45"/>
        <v>-0.69999179744618689</v>
      </c>
      <c r="H594" s="1">
        <v>1.0835999999999999E-5</v>
      </c>
      <c r="I594" s="2">
        <f t="shared" si="46"/>
        <v>-4.9651310036388692</v>
      </c>
      <c r="J594" s="2">
        <f t="shared" si="47"/>
        <v>-5.6651228010850563</v>
      </c>
      <c r="K594" s="1">
        <f t="shared" si="48"/>
        <v>462511.78271892114</v>
      </c>
      <c r="L594" s="17">
        <f t="shared" si="49"/>
        <v>6.3082113321038946</v>
      </c>
    </row>
    <row r="595" spans="1:12" hidden="1" x14ac:dyDescent="0.3">
      <c r="A595" s="9">
        <v>0.25119000000000002</v>
      </c>
      <c r="B595" s="10" t="s">
        <v>27</v>
      </c>
      <c r="C595" s="5">
        <v>140</v>
      </c>
      <c r="D595" s="9">
        <v>6.3224</v>
      </c>
      <c r="E595" s="9">
        <v>-2.6606999999999999E-2</v>
      </c>
      <c r="F595" s="11">
        <v>-4.1999999999999997E-3</v>
      </c>
      <c r="G595" s="12">
        <f t="shared" si="45"/>
        <v>-0.59999765407204408</v>
      </c>
      <c r="H595" s="1">
        <v>1.0835999999999999E-5</v>
      </c>
      <c r="I595" s="2">
        <f t="shared" si="46"/>
        <v>-4.9651310036388692</v>
      </c>
      <c r="J595" s="2">
        <f t="shared" si="47"/>
        <v>-5.5651286577109129</v>
      </c>
      <c r="K595" s="1">
        <f t="shared" si="48"/>
        <v>367391.1222815644</v>
      </c>
      <c r="L595" s="17">
        <f t="shared" si="49"/>
        <v>6.3224559858055951</v>
      </c>
    </row>
    <row r="596" spans="1:12" hidden="1" x14ac:dyDescent="0.3">
      <c r="A596" s="9">
        <v>0.31623000000000001</v>
      </c>
      <c r="B596" s="10" t="s">
        <v>27</v>
      </c>
      <c r="C596" s="5">
        <v>140</v>
      </c>
      <c r="D596" s="9">
        <v>6.3445</v>
      </c>
      <c r="E596" s="9">
        <v>-1.9685999999999999E-2</v>
      </c>
      <c r="F596" s="11">
        <v>-3.0999999999999999E-3</v>
      </c>
      <c r="G596" s="12">
        <f t="shared" si="45"/>
        <v>-0.4999969319483068</v>
      </c>
      <c r="H596" s="1">
        <v>1.0835999999999999E-5</v>
      </c>
      <c r="I596" s="2">
        <f t="shared" si="46"/>
        <v>-4.9651310036388692</v>
      </c>
      <c r="J596" s="2">
        <f t="shared" si="47"/>
        <v>-5.4651279355871756</v>
      </c>
      <c r="K596" s="1">
        <f t="shared" si="48"/>
        <v>291828.65637639118</v>
      </c>
      <c r="L596" s="17">
        <f t="shared" si="49"/>
        <v>6.3445305412296662</v>
      </c>
    </row>
    <row r="597" spans="1:12" hidden="1" x14ac:dyDescent="0.3">
      <c r="A597" s="9">
        <v>0.39811000000000002</v>
      </c>
      <c r="B597" s="10" t="s">
        <v>27</v>
      </c>
      <c r="C597" s="5">
        <v>140</v>
      </c>
      <c r="D597" s="9">
        <v>6.3395999999999999</v>
      </c>
      <c r="E597" s="9">
        <v>-8.9283000000000001E-3</v>
      </c>
      <c r="F597" s="11">
        <v>-1.4E-3</v>
      </c>
      <c r="G597" s="12">
        <f t="shared" si="45"/>
        <v>-0.39999691337225962</v>
      </c>
      <c r="H597" s="1">
        <v>1.0835999999999999E-5</v>
      </c>
      <c r="I597" s="2">
        <f t="shared" si="46"/>
        <v>-4.9651310036388692</v>
      </c>
      <c r="J597" s="2">
        <f t="shared" si="47"/>
        <v>-5.3651279170111286</v>
      </c>
      <c r="K597" s="1">
        <f t="shared" si="48"/>
        <v>231807.73154632183</v>
      </c>
      <c r="L597" s="17">
        <f t="shared" si="49"/>
        <v>6.3396062870292571</v>
      </c>
    </row>
    <row r="598" spans="1:12" x14ac:dyDescent="0.3">
      <c r="A598" s="9">
        <v>0.50119000000000002</v>
      </c>
      <c r="B598" s="10" t="s">
        <v>27</v>
      </c>
      <c r="C598" s="5">
        <v>140</v>
      </c>
      <c r="D598" s="9">
        <v>6.3761000000000001</v>
      </c>
      <c r="E598" s="9">
        <v>4.5270900000000001E-3</v>
      </c>
      <c r="F598" s="13">
        <v>7.1000999999999996E-4</v>
      </c>
      <c r="G598" s="12">
        <f t="shared" si="45"/>
        <v>-0.29999760285774607</v>
      </c>
      <c r="H598" s="1">
        <v>1.0835999999999999E-5</v>
      </c>
      <c r="I598" s="2">
        <f t="shared" si="46"/>
        <v>-4.9651310036388692</v>
      </c>
      <c r="J598" s="2">
        <f t="shared" si="47"/>
        <v>-5.2651286064966154</v>
      </c>
      <c r="K598" s="1">
        <f t="shared" si="48"/>
        <v>184131.71852173092</v>
      </c>
      <c r="L598" s="17">
        <f t="shared" si="49"/>
        <v>6.3761016071376933</v>
      </c>
    </row>
    <row r="599" spans="1:12" x14ac:dyDescent="0.3">
      <c r="A599" s="9">
        <v>0.63095999999999997</v>
      </c>
      <c r="B599" s="10" t="s">
        <v>27</v>
      </c>
      <c r="C599" s="5">
        <v>140</v>
      </c>
      <c r="D599" s="9">
        <v>6.4076000000000004</v>
      </c>
      <c r="E599" s="9">
        <v>8.8147200000000001E-4</v>
      </c>
      <c r="F599" s="13">
        <v>1.3757E-4</v>
      </c>
      <c r="G599" s="12">
        <f t="shared" si="45"/>
        <v>-0.19999817218203128</v>
      </c>
      <c r="H599" s="1">
        <v>1.0835999999999999E-5</v>
      </c>
      <c r="I599" s="2">
        <f t="shared" si="46"/>
        <v>-4.9651310036388692</v>
      </c>
      <c r="J599" s="2">
        <f t="shared" si="47"/>
        <v>-5.1651291758209004</v>
      </c>
      <c r="K599" s="1">
        <f t="shared" si="48"/>
        <v>146261.21466639137</v>
      </c>
      <c r="L599" s="17">
        <f t="shared" si="49"/>
        <v>6.4076000606305703</v>
      </c>
    </row>
    <row r="600" spans="1:12" x14ac:dyDescent="0.3">
      <c r="A600" s="9">
        <v>0.79432999999999998</v>
      </c>
      <c r="B600" s="10" t="s">
        <v>27</v>
      </c>
      <c r="C600" s="5">
        <v>140</v>
      </c>
      <c r="D600" s="9">
        <v>6.4236000000000004</v>
      </c>
      <c r="E600" s="9">
        <v>2.5076500000000002E-2</v>
      </c>
      <c r="F600" s="11">
        <v>3.8999999999999998E-3</v>
      </c>
      <c r="G600" s="12">
        <f t="shared" si="45"/>
        <v>-9.9999034846530471E-2</v>
      </c>
      <c r="H600" s="1">
        <v>1.0835999999999999E-5</v>
      </c>
      <c r="I600" s="2">
        <f t="shared" si="46"/>
        <v>-4.9651310036388692</v>
      </c>
      <c r="J600" s="2">
        <f t="shared" si="47"/>
        <v>-5.0651300384853997</v>
      </c>
      <c r="K600" s="1">
        <f t="shared" si="48"/>
        <v>116179.6432287667</v>
      </c>
      <c r="L600" s="17">
        <f t="shared" si="49"/>
        <v>6.4236489467320874</v>
      </c>
    </row>
    <row r="601" spans="1:12" x14ac:dyDescent="0.3">
      <c r="A601" s="9">
        <v>1</v>
      </c>
      <c r="B601" s="10" t="s">
        <v>27</v>
      </c>
      <c r="C601" s="5">
        <v>140</v>
      </c>
      <c r="D601" s="9">
        <v>6.4606000000000003</v>
      </c>
      <c r="E601" s="9">
        <v>4.77589E-2</v>
      </c>
      <c r="F601" s="11">
        <v>7.3899999999999999E-3</v>
      </c>
      <c r="G601" s="12">
        <f t="shared" si="45"/>
        <v>0</v>
      </c>
      <c r="H601" s="1">
        <v>1.0835999999999999E-5</v>
      </c>
      <c r="I601" s="2">
        <f t="shared" si="46"/>
        <v>-4.9651310036388692</v>
      </c>
      <c r="J601" s="2">
        <f t="shared" si="47"/>
        <v>-4.9651310036388692</v>
      </c>
      <c r="K601" s="1">
        <f t="shared" si="48"/>
        <v>92284.976005906297</v>
      </c>
      <c r="L601" s="17">
        <f t="shared" si="49"/>
        <v>6.4607765224103835</v>
      </c>
    </row>
    <row r="602" spans="1:12" x14ac:dyDescent="0.3">
      <c r="A602" s="9">
        <v>1.2589300000000001</v>
      </c>
      <c r="B602" s="10" t="s">
        <v>27</v>
      </c>
      <c r="C602" s="5">
        <v>140</v>
      </c>
      <c r="D602" s="9">
        <v>6.4702000000000002</v>
      </c>
      <c r="E602" s="9">
        <v>5.85829E-2</v>
      </c>
      <c r="F602" s="11">
        <v>9.0500000000000008E-3</v>
      </c>
      <c r="G602" s="12">
        <f t="shared" si="45"/>
        <v>0.10000158280135207</v>
      </c>
      <c r="H602" s="1">
        <v>1.0835999999999999E-5</v>
      </c>
      <c r="I602" s="2">
        <f t="shared" si="46"/>
        <v>-4.9651310036388692</v>
      </c>
      <c r="J602" s="2">
        <f t="shared" si="47"/>
        <v>-4.8651294208375173</v>
      </c>
      <c r="K602" s="1">
        <f t="shared" si="48"/>
        <v>73304.294921803739</v>
      </c>
      <c r="L602" s="17">
        <f t="shared" si="49"/>
        <v>6.4704652070907862</v>
      </c>
    </row>
    <row r="603" spans="1:12" x14ac:dyDescent="0.3">
      <c r="A603" s="9">
        <v>1.5848899999999999</v>
      </c>
      <c r="B603" s="10" t="s">
        <v>27</v>
      </c>
      <c r="C603" s="5">
        <v>140</v>
      </c>
      <c r="D603" s="9">
        <v>6.5063000000000004</v>
      </c>
      <c r="E603" s="9">
        <v>7.8761100000000001E-2</v>
      </c>
      <c r="F603" s="11">
        <v>1.2109999999999999E-2</v>
      </c>
      <c r="G603" s="12">
        <f t="shared" si="45"/>
        <v>0.19999912519679666</v>
      </c>
      <c r="H603" s="1">
        <v>1.0835999999999999E-5</v>
      </c>
      <c r="I603" s="2">
        <f t="shared" si="46"/>
        <v>-4.9651310036388692</v>
      </c>
      <c r="J603" s="2">
        <f t="shared" si="47"/>
        <v>-4.7651318784420722</v>
      </c>
      <c r="K603" s="1">
        <f t="shared" si="48"/>
        <v>58228.00068516186</v>
      </c>
      <c r="L603" s="17">
        <f t="shared" si="49"/>
        <v>6.5067766982487738</v>
      </c>
    </row>
    <row r="604" spans="1:12" x14ac:dyDescent="0.3">
      <c r="A604" s="9">
        <v>1.99526</v>
      </c>
      <c r="B604" s="10" t="s">
        <v>27</v>
      </c>
      <c r="C604" s="5">
        <v>140</v>
      </c>
      <c r="D604" s="9">
        <v>6.5246000000000004</v>
      </c>
      <c r="E604" s="9">
        <v>0.10352</v>
      </c>
      <c r="F604" s="11">
        <v>1.5869999999999999E-2</v>
      </c>
      <c r="G604" s="12">
        <f t="shared" si="45"/>
        <v>0.29999949611698379</v>
      </c>
      <c r="H604" s="1">
        <v>1.0835999999999999E-5</v>
      </c>
      <c r="I604" s="2">
        <f t="shared" si="46"/>
        <v>-4.9651310036388692</v>
      </c>
      <c r="J604" s="2">
        <f t="shared" si="47"/>
        <v>-4.6651315075218855</v>
      </c>
      <c r="K604" s="1">
        <f t="shared" si="48"/>
        <v>46252.105492971539</v>
      </c>
      <c r="L604" s="17">
        <f t="shared" si="49"/>
        <v>6.5254211780083597</v>
      </c>
    </row>
    <row r="605" spans="1:12" x14ac:dyDescent="0.3">
      <c r="A605" s="9">
        <v>2.5118900000000002</v>
      </c>
      <c r="B605" s="10" t="s">
        <v>27</v>
      </c>
      <c r="C605" s="5">
        <v>140</v>
      </c>
      <c r="D605" s="9">
        <v>6.5616000000000003</v>
      </c>
      <c r="E605" s="9">
        <v>0.14643</v>
      </c>
      <c r="F605" s="11">
        <v>2.232E-2</v>
      </c>
      <c r="G605" s="12">
        <f t="shared" si="45"/>
        <v>0.40000061697637995</v>
      </c>
      <c r="H605" s="1">
        <v>1.0835999999999999E-5</v>
      </c>
      <c r="I605" s="2">
        <f t="shared" si="46"/>
        <v>-4.9651310036388692</v>
      </c>
      <c r="J605" s="2">
        <f t="shared" si="47"/>
        <v>-4.5651303866624895</v>
      </c>
      <c r="K605" s="1">
        <f t="shared" si="48"/>
        <v>36739.258488988904</v>
      </c>
      <c r="L605" s="17">
        <f t="shared" si="49"/>
        <v>6.5632336774565641</v>
      </c>
    </row>
    <row r="606" spans="1:12" x14ac:dyDescent="0.3">
      <c r="A606" s="9">
        <v>3.16228</v>
      </c>
      <c r="B606" s="10" t="s">
        <v>27</v>
      </c>
      <c r="C606" s="5">
        <v>140</v>
      </c>
      <c r="D606" s="9">
        <v>6.5925000000000002</v>
      </c>
      <c r="E606" s="9">
        <v>0.14951</v>
      </c>
      <c r="F606" s="11">
        <v>2.2679999999999999E-2</v>
      </c>
      <c r="G606" s="12">
        <f t="shared" si="45"/>
        <v>0.50000032134293526</v>
      </c>
      <c r="H606" s="1">
        <v>1.0835999999999999E-5</v>
      </c>
      <c r="I606" s="2">
        <f t="shared" si="46"/>
        <v>-4.9651310036388692</v>
      </c>
      <c r="J606" s="2">
        <f t="shared" si="47"/>
        <v>-4.4651306822959338</v>
      </c>
      <c r="K606" s="1">
        <f t="shared" si="48"/>
        <v>29183.050206150718</v>
      </c>
      <c r="L606" s="17">
        <f t="shared" si="49"/>
        <v>6.5941951358827717</v>
      </c>
    </row>
    <row r="607" spans="1:12" x14ac:dyDescent="0.3">
      <c r="A607" s="9">
        <v>3.9810699999999999</v>
      </c>
      <c r="B607" s="10" t="s">
        <v>27</v>
      </c>
      <c r="C607" s="5">
        <v>140</v>
      </c>
      <c r="D607" s="9">
        <v>6.6340000000000003</v>
      </c>
      <c r="E607" s="9">
        <v>0.21453</v>
      </c>
      <c r="F607" s="11">
        <v>3.2340000000000001E-2</v>
      </c>
      <c r="G607" s="12">
        <f t="shared" si="45"/>
        <v>0.59999981394342006</v>
      </c>
      <c r="H607" s="1">
        <v>1.0835999999999999E-5</v>
      </c>
      <c r="I607" s="2">
        <f t="shared" si="46"/>
        <v>-4.9651310036388692</v>
      </c>
      <c r="J607" s="2">
        <f t="shared" si="47"/>
        <v>-4.3651311896954494</v>
      </c>
      <c r="K607" s="1">
        <f t="shared" si="48"/>
        <v>23180.947837115735</v>
      </c>
      <c r="L607" s="17">
        <f t="shared" si="49"/>
        <v>6.6374678244719201</v>
      </c>
    </row>
    <row r="608" spans="1:12" x14ac:dyDescent="0.3">
      <c r="A608" s="9">
        <v>5.01187</v>
      </c>
      <c r="B608" s="10" t="s">
        <v>27</v>
      </c>
      <c r="C608" s="5">
        <v>140</v>
      </c>
      <c r="D608" s="9">
        <v>6.6753</v>
      </c>
      <c r="E608" s="9">
        <v>0.25192999999999999</v>
      </c>
      <c r="F608" s="11">
        <v>3.7740000000000003E-2</v>
      </c>
      <c r="G608" s="12">
        <f t="shared" si="45"/>
        <v>0.69999979755458241</v>
      </c>
      <c r="H608" s="1">
        <v>1.0835999999999999E-5</v>
      </c>
      <c r="I608" s="2">
        <f t="shared" si="46"/>
        <v>-4.9651310036388692</v>
      </c>
      <c r="J608" s="2">
        <f t="shared" si="47"/>
        <v>-4.2651312060842868</v>
      </c>
      <c r="K608" s="1">
        <f t="shared" si="48"/>
        <v>18413.282069548153</v>
      </c>
      <c r="L608" s="17">
        <f t="shared" si="49"/>
        <v>6.6800523062997046</v>
      </c>
    </row>
    <row r="609" spans="1:12" x14ac:dyDescent="0.3">
      <c r="A609" s="9">
        <v>6.3095800000000004</v>
      </c>
      <c r="B609" s="10" t="s">
        <v>27</v>
      </c>
      <c r="C609" s="5">
        <v>140</v>
      </c>
      <c r="D609" s="9">
        <v>6.7153999999999998</v>
      </c>
      <c r="E609" s="9">
        <v>0.29797000000000001</v>
      </c>
      <c r="F609" s="11">
        <v>4.437E-2</v>
      </c>
      <c r="G609" s="12">
        <f t="shared" si="45"/>
        <v>0.80000045120084495</v>
      </c>
      <c r="H609" s="1">
        <v>1.0835999999999999E-5</v>
      </c>
      <c r="I609" s="2">
        <f t="shared" si="46"/>
        <v>-4.9651310036388692</v>
      </c>
      <c r="J609" s="2">
        <f t="shared" si="47"/>
        <v>-4.1651305524380238</v>
      </c>
      <c r="K609" s="1">
        <f t="shared" si="48"/>
        <v>14626.167828271649</v>
      </c>
      <c r="L609" s="17">
        <f t="shared" si="49"/>
        <v>6.7220073847698201</v>
      </c>
    </row>
    <row r="610" spans="1:12" x14ac:dyDescent="0.3">
      <c r="A610" s="9">
        <v>7.9432900000000002</v>
      </c>
      <c r="B610" s="10" t="s">
        <v>27</v>
      </c>
      <c r="C610" s="5">
        <v>140</v>
      </c>
      <c r="D610" s="9">
        <v>6.7552000000000003</v>
      </c>
      <c r="E610" s="9">
        <v>0.35709999999999997</v>
      </c>
      <c r="F610" s="11">
        <v>5.2859999999999997E-2</v>
      </c>
      <c r="G610" s="12">
        <f t="shared" si="45"/>
        <v>0.90000041840998102</v>
      </c>
      <c r="H610" s="1">
        <v>1.0835999999999999E-5</v>
      </c>
      <c r="I610" s="2">
        <f t="shared" si="46"/>
        <v>-4.9651310036388692</v>
      </c>
      <c r="J610" s="2">
        <f t="shared" si="47"/>
        <v>-4.0651305852288884</v>
      </c>
      <c r="K610" s="1">
        <f t="shared" si="48"/>
        <v>11617.978949013104</v>
      </c>
      <c r="L610" s="17">
        <f t="shared" si="49"/>
        <v>6.7646321001219283</v>
      </c>
    </row>
    <row r="611" spans="1:12" x14ac:dyDescent="0.3">
      <c r="A611" s="9">
        <v>10</v>
      </c>
      <c r="B611" s="10" t="s">
        <v>27</v>
      </c>
      <c r="C611" s="5">
        <v>140</v>
      </c>
      <c r="D611" s="9">
        <v>6.8205</v>
      </c>
      <c r="E611" s="9">
        <v>0.42615999999999998</v>
      </c>
      <c r="F611" s="11">
        <v>6.2480000000000001E-2</v>
      </c>
      <c r="G611" s="12">
        <f t="shared" si="45"/>
        <v>1</v>
      </c>
      <c r="H611" s="1">
        <v>1.0835999999999999E-5</v>
      </c>
      <c r="I611" s="2">
        <f t="shared" si="46"/>
        <v>-4.9651310036388692</v>
      </c>
      <c r="J611" s="2">
        <f t="shared" si="47"/>
        <v>-3.9651310036388692</v>
      </c>
      <c r="K611" s="1">
        <f t="shared" si="48"/>
        <v>9228.4976005906192</v>
      </c>
      <c r="L611" s="17">
        <f t="shared" si="49"/>
        <v>6.8338007430418983</v>
      </c>
    </row>
    <row r="612" spans="1:12" x14ac:dyDescent="0.3">
      <c r="A612" s="9">
        <v>12.5893</v>
      </c>
      <c r="B612" s="10" t="s">
        <v>27</v>
      </c>
      <c r="C612" s="5">
        <v>140</v>
      </c>
      <c r="D612" s="9">
        <v>6.8975</v>
      </c>
      <c r="E612" s="9">
        <v>0.47913</v>
      </c>
      <c r="F612" s="11">
        <v>6.9459999999999994E-2</v>
      </c>
      <c r="G612" s="12">
        <f t="shared" si="45"/>
        <v>1.1000015828013521</v>
      </c>
      <c r="H612" s="1">
        <v>1.0835999999999999E-5</v>
      </c>
      <c r="I612" s="2">
        <f t="shared" si="46"/>
        <v>-4.9651310036388692</v>
      </c>
      <c r="J612" s="2">
        <f t="shared" si="47"/>
        <v>-3.8651294208375173</v>
      </c>
      <c r="K612" s="1">
        <f t="shared" si="48"/>
        <v>7330.4294921803648</v>
      </c>
      <c r="L612" s="17">
        <f t="shared" si="49"/>
        <v>6.9141211883289984</v>
      </c>
    </row>
    <row r="613" spans="1:12" x14ac:dyDescent="0.3">
      <c r="A613" s="9">
        <v>15.8489</v>
      </c>
      <c r="B613" s="10" t="s">
        <v>27</v>
      </c>
      <c r="C613" s="5">
        <v>140</v>
      </c>
      <c r="D613" s="9">
        <v>6.9829999999999997</v>
      </c>
      <c r="E613" s="9">
        <v>0.54688000000000003</v>
      </c>
      <c r="F613" s="11">
        <v>7.8320000000000001E-2</v>
      </c>
      <c r="G613" s="12">
        <f t="shared" si="45"/>
        <v>1.1999991251967967</v>
      </c>
      <c r="H613" s="1">
        <v>1.0835999999999999E-5</v>
      </c>
      <c r="I613" s="2">
        <f t="shared" si="46"/>
        <v>-4.9651310036388692</v>
      </c>
      <c r="J613" s="2">
        <f t="shared" si="47"/>
        <v>-3.7651318784420722</v>
      </c>
      <c r="K613" s="1">
        <f t="shared" si="48"/>
        <v>5822.8000685161915</v>
      </c>
      <c r="L613" s="17">
        <f t="shared" si="49"/>
        <v>7.0043819666263198</v>
      </c>
    </row>
    <row r="614" spans="1:12" x14ac:dyDescent="0.3">
      <c r="A614" s="9">
        <v>19.9526</v>
      </c>
      <c r="B614" s="10" t="s">
        <v>27</v>
      </c>
      <c r="C614" s="5">
        <v>140</v>
      </c>
      <c r="D614" s="9">
        <v>7.0622999999999996</v>
      </c>
      <c r="E614" s="9">
        <v>0.64448000000000005</v>
      </c>
      <c r="F614" s="11">
        <v>9.1259999999999994E-2</v>
      </c>
      <c r="G614" s="12">
        <f t="shared" si="45"/>
        <v>1.2999994961169838</v>
      </c>
      <c r="H614" s="1">
        <v>1.0835999999999999E-5</v>
      </c>
      <c r="I614" s="2">
        <f t="shared" si="46"/>
        <v>-4.9651310036388692</v>
      </c>
      <c r="J614" s="2">
        <f t="shared" si="47"/>
        <v>-3.6651315075218855</v>
      </c>
      <c r="K614" s="1">
        <f t="shared" si="48"/>
        <v>4625.2105492971486</v>
      </c>
      <c r="L614" s="17">
        <f t="shared" si="49"/>
        <v>7.0916454903216923</v>
      </c>
    </row>
    <row r="615" spans="1:12" x14ac:dyDescent="0.3">
      <c r="A615" s="9">
        <v>25.1189</v>
      </c>
      <c r="B615" s="10" t="s">
        <v>27</v>
      </c>
      <c r="C615" s="5">
        <v>140</v>
      </c>
      <c r="D615" s="9">
        <v>7.1840000000000002</v>
      </c>
      <c r="E615" s="9">
        <v>0.76493</v>
      </c>
      <c r="F615" s="11">
        <v>0.10648000000000001</v>
      </c>
      <c r="G615" s="12">
        <f t="shared" si="45"/>
        <v>1.4000006169763799</v>
      </c>
      <c r="H615" s="1">
        <v>1.0835999999999999E-5</v>
      </c>
      <c r="I615" s="2">
        <f t="shared" si="46"/>
        <v>-4.9651310036388692</v>
      </c>
      <c r="J615" s="2">
        <f t="shared" si="47"/>
        <v>-3.5651303866624895</v>
      </c>
      <c r="K615" s="1">
        <f t="shared" si="48"/>
        <v>3673.9258488988862</v>
      </c>
      <c r="L615" s="17">
        <f t="shared" si="49"/>
        <v>7.2246089101694633</v>
      </c>
    </row>
    <row r="616" spans="1:12" x14ac:dyDescent="0.3">
      <c r="A616" s="9">
        <v>31.622800000000002</v>
      </c>
      <c r="B616" s="10" t="s">
        <v>27</v>
      </c>
      <c r="C616" s="5">
        <v>140</v>
      </c>
      <c r="D616" s="9">
        <v>7.2892000000000001</v>
      </c>
      <c r="E616" s="9">
        <v>0.84963999999999995</v>
      </c>
      <c r="F616" s="11">
        <v>0.11656</v>
      </c>
      <c r="G616" s="12">
        <f t="shared" si="45"/>
        <v>1.5000003213429354</v>
      </c>
      <c r="H616" s="1">
        <v>1.0835999999999999E-5</v>
      </c>
      <c r="I616" s="2">
        <f t="shared" si="46"/>
        <v>-4.9651310036388692</v>
      </c>
      <c r="J616" s="2">
        <f t="shared" si="47"/>
        <v>-3.4651306822959338</v>
      </c>
      <c r="K616" s="1">
        <f t="shared" si="48"/>
        <v>2918.3050206150715</v>
      </c>
      <c r="L616" s="17">
        <f t="shared" si="49"/>
        <v>7.3385505905185386</v>
      </c>
    </row>
    <row r="617" spans="1:12" x14ac:dyDescent="0.3">
      <c r="A617" s="9">
        <v>39.810699999999997</v>
      </c>
      <c r="B617" s="10" t="s">
        <v>27</v>
      </c>
      <c r="C617" s="5">
        <v>140</v>
      </c>
      <c r="D617" s="9">
        <v>7.4025999999999996</v>
      </c>
      <c r="E617" s="9">
        <v>0.96545999999999998</v>
      </c>
      <c r="F617" s="11">
        <v>0.13042000000000001</v>
      </c>
      <c r="G617" s="12">
        <f t="shared" si="45"/>
        <v>1.5999998139434199</v>
      </c>
      <c r="H617" s="1">
        <v>1.0835999999999999E-5</v>
      </c>
      <c r="I617" s="2">
        <f t="shared" si="46"/>
        <v>-4.9651310036388692</v>
      </c>
      <c r="J617" s="2">
        <f t="shared" si="47"/>
        <v>-3.3651311896954494</v>
      </c>
      <c r="K617" s="1">
        <f t="shared" si="48"/>
        <v>2318.0947837115732</v>
      </c>
      <c r="L617" s="17">
        <f t="shared" si="49"/>
        <v>7.4652930131107373</v>
      </c>
    </row>
    <row r="618" spans="1:12" x14ac:dyDescent="0.3">
      <c r="A618" s="9">
        <v>50.1188</v>
      </c>
      <c r="B618" s="10" t="s">
        <v>27</v>
      </c>
      <c r="C618" s="5">
        <v>140</v>
      </c>
      <c r="D618" s="9">
        <v>7.5350000000000001</v>
      </c>
      <c r="E618" s="9">
        <v>1.1223000000000001</v>
      </c>
      <c r="F618" s="11">
        <v>0.14893999999999999</v>
      </c>
      <c r="G618" s="12">
        <f t="shared" si="45"/>
        <v>1.7000006640855352</v>
      </c>
      <c r="H618" s="1">
        <v>1.0835999999999999E-5</v>
      </c>
      <c r="I618" s="2">
        <f t="shared" si="46"/>
        <v>-4.9651310036388692</v>
      </c>
      <c r="J618" s="2">
        <f t="shared" si="47"/>
        <v>-3.265130339553334</v>
      </c>
      <c r="K618" s="1">
        <f t="shared" si="48"/>
        <v>1841.3245330276511</v>
      </c>
      <c r="L618" s="17">
        <f t="shared" si="49"/>
        <v>7.6181219660753667</v>
      </c>
    </row>
    <row r="619" spans="1:12" x14ac:dyDescent="0.3">
      <c r="A619" s="9">
        <v>63.095799999999997</v>
      </c>
      <c r="B619" s="10" t="s">
        <v>27</v>
      </c>
      <c r="C619" s="5">
        <v>140</v>
      </c>
      <c r="D619" s="9">
        <v>7.7061000000000002</v>
      </c>
      <c r="E619" s="9">
        <v>1.256</v>
      </c>
      <c r="F619" s="11">
        <v>0.16299</v>
      </c>
      <c r="G619" s="12">
        <f t="shared" si="45"/>
        <v>1.800000451200845</v>
      </c>
      <c r="H619" s="1">
        <v>1.0835999999999999E-5</v>
      </c>
      <c r="I619" s="2">
        <f t="shared" si="46"/>
        <v>-4.9651310036388692</v>
      </c>
      <c r="J619" s="2">
        <f t="shared" si="47"/>
        <v>-3.1651305524380242</v>
      </c>
      <c r="K619" s="1">
        <f t="shared" si="48"/>
        <v>1462.6167828271648</v>
      </c>
      <c r="L619" s="17">
        <f t="shared" si="49"/>
        <v>7.8077854228968153</v>
      </c>
    </row>
    <row r="620" spans="1:12" x14ac:dyDescent="0.3">
      <c r="A620" s="9">
        <v>79.432900000000004</v>
      </c>
      <c r="B620" s="10" t="s">
        <v>27</v>
      </c>
      <c r="C620" s="5">
        <v>140</v>
      </c>
      <c r="D620" s="9">
        <v>7.8662000000000001</v>
      </c>
      <c r="E620" s="9">
        <v>1.4404999999999999</v>
      </c>
      <c r="F620" s="11">
        <v>0.18312999999999999</v>
      </c>
      <c r="G620" s="12">
        <f t="shared" si="45"/>
        <v>1.900000418409981</v>
      </c>
      <c r="H620" s="1">
        <v>1.0835999999999999E-5</v>
      </c>
      <c r="I620" s="2">
        <f t="shared" si="46"/>
        <v>-4.9651310036388692</v>
      </c>
      <c r="J620" s="2">
        <f t="shared" si="47"/>
        <v>-3.0651305852288884</v>
      </c>
      <c r="K620" s="1">
        <f t="shared" si="48"/>
        <v>1161.7978949013102</v>
      </c>
      <c r="L620" s="17">
        <f t="shared" si="49"/>
        <v>7.9970083587551661</v>
      </c>
    </row>
    <row r="621" spans="1:12" x14ac:dyDescent="0.3">
      <c r="A621" s="9">
        <v>100</v>
      </c>
      <c r="B621" s="10" t="s">
        <v>27</v>
      </c>
      <c r="C621" s="5">
        <v>140</v>
      </c>
      <c r="D621" s="9">
        <v>8.0518999999999998</v>
      </c>
      <c r="E621" s="9">
        <v>1.6105</v>
      </c>
      <c r="F621" s="11">
        <v>0.20002</v>
      </c>
      <c r="G621" s="12">
        <f t="shared" si="45"/>
        <v>2</v>
      </c>
      <c r="H621" s="1">
        <v>1.0835999999999999E-5</v>
      </c>
      <c r="I621" s="2">
        <f t="shared" si="46"/>
        <v>-4.9651310036388692</v>
      </c>
      <c r="J621" s="2">
        <f t="shared" si="47"/>
        <v>-2.9651310036388692</v>
      </c>
      <c r="K621" s="1">
        <f t="shared" si="48"/>
        <v>922.84976005906253</v>
      </c>
      <c r="L621" s="17">
        <f t="shared" si="49"/>
        <v>8.2113825790788724</v>
      </c>
    </row>
    <row r="622" spans="1:12" x14ac:dyDescent="0.3">
      <c r="A622" s="4">
        <v>0.1</v>
      </c>
      <c r="B622" s="5" t="s">
        <v>28</v>
      </c>
      <c r="C622" s="5">
        <v>150</v>
      </c>
      <c r="D622" s="4">
        <v>6.5465999999999998</v>
      </c>
      <c r="E622" s="4">
        <v>0.13158</v>
      </c>
      <c r="F622" s="6">
        <v>2.01E-2</v>
      </c>
      <c r="G622" s="7">
        <f t="shared" si="45"/>
        <v>-1</v>
      </c>
      <c r="H622" s="1">
        <v>1.84E-6</v>
      </c>
      <c r="I622" s="2">
        <f t="shared" si="46"/>
        <v>-5.7351821769904632</v>
      </c>
      <c r="J622" s="2">
        <f t="shared" si="47"/>
        <v>-6.7351821769904632</v>
      </c>
      <c r="K622" s="1">
        <f t="shared" si="48"/>
        <v>5434782.608695657</v>
      </c>
      <c r="L622" s="17">
        <f t="shared" si="49"/>
        <v>6.5479221785540487</v>
      </c>
    </row>
    <row r="623" spans="1:12" hidden="1" x14ac:dyDescent="0.3">
      <c r="A623" s="4">
        <v>0.12589</v>
      </c>
      <c r="B623" s="5" t="s">
        <v>28</v>
      </c>
      <c r="C623" s="5">
        <v>150</v>
      </c>
      <c r="D623" s="4">
        <v>6.4467999999999996</v>
      </c>
      <c r="E623" s="4">
        <v>-7.1484000000000006E-2</v>
      </c>
      <c r="F623" s="6">
        <v>-1.11E-2</v>
      </c>
      <c r="G623" s="7">
        <f t="shared" si="45"/>
        <v>-0.90000876645531558</v>
      </c>
      <c r="H623" s="1">
        <v>1.84E-6</v>
      </c>
      <c r="I623" s="2">
        <f t="shared" si="46"/>
        <v>-5.7351821769904632</v>
      </c>
      <c r="J623" s="2">
        <f t="shared" si="47"/>
        <v>-6.635190943445779</v>
      </c>
      <c r="K623" s="1">
        <f t="shared" si="48"/>
        <v>4317088.4174244674</v>
      </c>
      <c r="L623" s="17">
        <f t="shared" si="49"/>
        <v>6.4471963055467754</v>
      </c>
    </row>
    <row r="624" spans="1:12" hidden="1" x14ac:dyDescent="0.3">
      <c r="A624" s="4">
        <v>0.15848999999999999</v>
      </c>
      <c r="B624" s="5" t="s">
        <v>28</v>
      </c>
      <c r="C624" s="5">
        <v>150</v>
      </c>
      <c r="D624" s="4">
        <v>6.4013</v>
      </c>
      <c r="E624" s="4">
        <v>-8.9115E-2</v>
      </c>
      <c r="F624" s="6">
        <v>-1.3899999999999999E-2</v>
      </c>
      <c r="G624" s="7">
        <f t="shared" si="45"/>
        <v>-0.79999813459339819</v>
      </c>
      <c r="H624" s="1">
        <v>1.84E-6</v>
      </c>
      <c r="I624" s="2">
        <f t="shared" si="46"/>
        <v>-5.7351821769904632</v>
      </c>
      <c r="J624" s="2">
        <f t="shared" si="47"/>
        <v>-6.5351803115838614</v>
      </c>
      <c r="K624" s="1">
        <f t="shared" si="48"/>
        <v>3429101.2737053814</v>
      </c>
      <c r="L624" s="17">
        <f t="shared" si="49"/>
        <v>6.4019202723264996</v>
      </c>
    </row>
    <row r="625" spans="1:12" hidden="1" x14ac:dyDescent="0.3">
      <c r="A625" s="4">
        <v>0.19953000000000001</v>
      </c>
      <c r="B625" s="5" t="s">
        <v>28</v>
      </c>
      <c r="C625" s="5">
        <v>150</v>
      </c>
      <c r="D625" s="4">
        <v>6.3705999999999996</v>
      </c>
      <c r="E625" s="4">
        <v>-4.9903000000000003E-2</v>
      </c>
      <c r="F625" s="6">
        <v>-7.7999999999999996E-3</v>
      </c>
      <c r="G625" s="7">
        <f t="shared" si="45"/>
        <v>-0.69999179744618689</v>
      </c>
      <c r="H625" s="1">
        <v>1.84E-6</v>
      </c>
      <c r="I625" s="2">
        <f t="shared" si="46"/>
        <v>-5.7351821769904632</v>
      </c>
      <c r="J625" s="2">
        <f t="shared" si="47"/>
        <v>-6.4351739744366503</v>
      </c>
      <c r="K625" s="1">
        <f t="shared" si="48"/>
        <v>2723792.2160555571</v>
      </c>
      <c r="L625" s="17">
        <f t="shared" si="49"/>
        <v>6.3707954502878987</v>
      </c>
    </row>
    <row r="626" spans="1:12" hidden="1" x14ac:dyDescent="0.3">
      <c r="A626" s="4">
        <v>0.25119000000000002</v>
      </c>
      <c r="B626" s="5" t="s">
        <v>28</v>
      </c>
      <c r="C626" s="5">
        <v>150</v>
      </c>
      <c r="D626" s="4">
        <v>6.3997999999999999</v>
      </c>
      <c r="E626" s="4">
        <v>-5.2519999999999997E-2</v>
      </c>
      <c r="F626" s="6">
        <v>-8.2000000000000007E-3</v>
      </c>
      <c r="G626" s="7">
        <f t="shared" si="45"/>
        <v>-0.59999765407204408</v>
      </c>
      <c r="H626" s="1">
        <v>1.84E-6</v>
      </c>
      <c r="I626" s="2">
        <f t="shared" si="46"/>
        <v>-5.7351821769904632</v>
      </c>
      <c r="J626" s="2">
        <f t="shared" si="47"/>
        <v>-6.3351798310625069</v>
      </c>
      <c r="K626" s="1">
        <f t="shared" si="48"/>
        <v>2163614.2396973018</v>
      </c>
      <c r="L626" s="17">
        <f t="shared" si="49"/>
        <v>6.4000154992312321</v>
      </c>
    </row>
    <row r="627" spans="1:12" hidden="1" x14ac:dyDescent="0.3">
      <c r="A627" s="4">
        <v>0.31623000000000001</v>
      </c>
      <c r="B627" s="5" t="s">
        <v>28</v>
      </c>
      <c r="C627" s="5">
        <v>150</v>
      </c>
      <c r="D627" s="4">
        <v>6.4074999999999998</v>
      </c>
      <c r="E627" s="4">
        <v>-4.5175E-2</v>
      </c>
      <c r="F627" s="6">
        <v>-7.1000000000000004E-3</v>
      </c>
      <c r="G627" s="7">
        <f t="shared" si="45"/>
        <v>-0.4999969319483068</v>
      </c>
      <c r="H627" s="1">
        <v>1.84E-6</v>
      </c>
      <c r="I627" s="2">
        <f t="shared" si="46"/>
        <v>-5.7351821769904632</v>
      </c>
      <c r="J627" s="2">
        <f t="shared" si="47"/>
        <v>-6.2351791089387696</v>
      </c>
      <c r="K627" s="1">
        <f t="shared" si="48"/>
        <v>1718617.0220079224</v>
      </c>
      <c r="L627" s="17">
        <f t="shared" si="49"/>
        <v>6.407659247387067</v>
      </c>
    </row>
    <row r="628" spans="1:12" hidden="1" x14ac:dyDescent="0.3">
      <c r="A628" s="4">
        <v>0.39811000000000002</v>
      </c>
      <c r="B628" s="5" t="s">
        <v>28</v>
      </c>
      <c r="C628" s="5">
        <v>150</v>
      </c>
      <c r="D628" s="4">
        <v>6.4165999999999999</v>
      </c>
      <c r="E628" s="4">
        <v>-5.2671000000000003E-2</v>
      </c>
      <c r="F628" s="6">
        <v>-8.2000000000000007E-3</v>
      </c>
      <c r="G628" s="7">
        <f t="shared" si="45"/>
        <v>-0.39999691337225962</v>
      </c>
      <c r="H628" s="1">
        <v>1.84E-6</v>
      </c>
      <c r="I628" s="2">
        <f t="shared" si="46"/>
        <v>-5.7351821769904632</v>
      </c>
      <c r="J628" s="2">
        <f t="shared" si="47"/>
        <v>-6.1351790903627226</v>
      </c>
      <c r="K628" s="1">
        <f t="shared" si="48"/>
        <v>1365145.9668673619</v>
      </c>
      <c r="L628" s="17">
        <f t="shared" si="49"/>
        <v>6.4168161727013029</v>
      </c>
    </row>
    <row r="629" spans="1:12" hidden="1" x14ac:dyDescent="0.3">
      <c r="A629" s="4">
        <v>0.50119000000000002</v>
      </c>
      <c r="B629" s="5" t="s">
        <v>28</v>
      </c>
      <c r="C629" s="5">
        <v>150</v>
      </c>
      <c r="D629" s="4">
        <v>6.4353999999999996</v>
      </c>
      <c r="E629" s="4">
        <v>-6.9169999999999995E-2</v>
      </c>
      <c r="F629" s="6">
        <v>-1.0699999999999999E-2</v>
      </c>
      <c r="G629" s="7">
        <f t="shared" si="45"/>
        <v>-0.29999760285774607</v>
      </c>
      <c r="H629" s="1">
        <v>1.84E-6</v>
      </c>
      <c r="I629" s="2">
        <f t="shared" si="46"/>
        <v>-5.7351821769904632</v>
      </c>
      <c r="J629" s="2">
        <f t="shared" si="47"/>
        <v>-6.0351797798482094</v>
      </c>
      <c r="K629" s="1">
        <f t="shared" si="48"/>
        <v>1084375.7075551492</v>
      </c>
      <c r="L629" s="17">
        <f t="shared" si="49"/>
        <v>6.4357717213167218</v>
      </c>
    </row>
    <row r="630" spans="1:12" hidden="1" x14ac:dyDescent="0.3">
      <c r="A630" s="4">
        <v>0.63095999999999997</v>
      </c>
      <c r="B630" s="5" t="s">
        <v>28</v>
      </c>
      <c r="C630" s="5">
        <v>150</v>
      </c>
      <c r="D630" s="4">
        <v>6.4612999999999996</v>
      </c>
      <c r="E630" s="4">
        <v>-5.1340999999999998E-2</v>
      </c>
      <c r="F630" s="6">
        <v>-7.9000000000000008E-3</v>
      </c>
      <c r="G630" s="7">
        <f t="shared" si="45"/>
        <v>-0.19999817218203128</v>
      </c>
      <c r="H630" s="1">
        <v>1.84E-6</v>
      </c>
      <c r="I630" s="2">
        <f t="shared" si="46"/>
        <v>-5.7351821769904632</v>
      </c>
      <c r="J630" s="2">
        <f t="shared" si="47"/>
        <v>-5.9351803491724944</v>
      </c>
      <c r="K630" s="1">
        <f t="shared" si="48"/>
        <v>861351.37072011712</v>
      </c>
      <c r="L630" s="17">
        <f t="shared" si="49"/>
        <v>6.4615039726275025</v>
      </c>
    </row>
    <row r="631" spans="1:12" hidden="1" x14ac:dyDescent="0.3">
      <c r="A631" s="4">
        <v>0.79432999999999998</v>
      </c>
      <c r="B631" s="5" t="s">
        <v>28</v>
      </c>
      <c r="C631" s="5">
        <v>150</v>
      </c>
      <c r="D631" s="4">
        <v>6.4618000000000002</v>
      </c>
      <c r="E631" s="4">
        <v>-4.7204999999999997E-2</v>
      </c>
      <c r="F631" s="6">
        <v>-7.3000000000000001E-3</v>
      </c>
      <c r="G631" s="7">
        <f t="shared" si="45"/>
        <v>-9.9999034846530471E-2</v>
      </c>
      <c r="H631" s="1">
        <v>1.84E-6</v>
      </c>
      <c r="I631" s="2">
        <f t="shared" si="46"/>
        <v>-5.7351821769904632</v>
      </c>
      <c r="J631" s="2">
        <f t="shared" si="47"/>
        <v>-5.8351812118369937</v>
      </c>
      <c r="K631" s="1">
        <f t="shared" si="48"/>
        <v>684197.07284071576</v>
      </c>
      <c r="L631" s="17">
        <f t="shared" si="49"/>
        <v>6.4619724196273847</v>
      </c>
    </row>
    <row r="632" spans="1:12" hidden="1" x14ac:dyDescent="0.3">
      <c r="A632" s="4">
        <v>1</v>
      </c>
      <c r="B632" s="5" t="s">
        <v>28</v>
      </c>
      <c r="C632" s="5">
        <v>150</v>
      </c>
      <c r="D632" s="4">
        <v>6.4692999999999996</v>
      </c>
      <c r="E632" s="4">
        <v>-4.0251000000000002E-2</v>
      </c>
      <c r="F632" s="6">
        <v>-6.1999999999999998E-3</v>
      </c>
      <c r="G632" s="7">
        <f t="shared" si="45"/>
        <v>0</v>
      </c>
      <c r="H632" s="1">
        <v>1.84E-6</v>
      </c>
      <c r="I632" s="2">
        <f t="shared" si="46"/>
        <v>-5.7351821769904632</v>
      </c>
      <c r="J632" s="2">
        <f t="shared" si="47"/>
        <v>-5.7351821769904632</v>
      </c>
      <c r="K632" s="1">
        <f t="shared" si="48"/>
        <v>543478.26086956507</v>
      </c>
      <c r="L632" s="17">
        <f t="shared" si="49"/>
        <v>6.4694252165861688</v>
      </c>
    </row>
    <row r="633" spans="1:12" hidden="1" x14ac:dyDescent="0.3">
      <c r="A633" s="4">
        <v>1.2589300000000001</v>
      </c>
      <c r="B633" s="5" t="s">
        <v>28</v>
      </c>
      <c r="C633" s="5">
        <v>150</v>
      </c>
      <c r="D633" s="4">
        <v>6.4802999999999997</v>
      </c>
      <c r="E633" s="4">
        <v>-4.2097000000000002E-2</v>
      </c>
      <c r="F633" s="6">
        <v>-6.4999999999999997E-3</v>
      </c>
      <c r="G633" s="7">
        <f t="shared" si="45"/>
        <v>0.10000158280135207</v>
      </c>
      <c r="H633" s="1">
        <v>1.84E-6</v>
      </c>
      <c r="I633" s="2">
        <f t="shared" si="46"/>
        <v>-5.7351821769904632</v>
      </c>
      <c r="J633" s="2">
        <f t="shared" si="47"/>
        <v>-5.6351805941891113</v>
      </c>
      <c r="K633" s="1">
        <f t="shared" si="48"/>
        <v>431698.55422427424</v>
      </c>
      <c r="L633" s="17">
        <f t="shared" si="49"/>
        <v>6.4804367327680161</v>
      </c>
    </row>
    <row r="634" spans="1:12" hidden="1" x14ac:dyDescent="0.3">
      <c r="A634" s="4">
        <v>1.5848899999999999</v>
      </c>
      <c r="B634" s="5" t="s">
        <v>28</v>
      </c>
      <c r="C634" s="5">
        <v>150</v>
      </c>
      <c r="D634" s="4">
        <v>6.4893000000000001</v>
      </c>
      <c r="E634" s="4">
        <v>-2.7241999999999999E-2</v>
      </c>
      <c r="F634" s="6">
        <v>-4.1999999999999997E-3</v>
      </c>
      <c r="G634" s="7">
        <f t="shared" si="45"/>
        <v>0.19999912519679666</v>
      </c>
      <c r="H634" s="1">
        <v>1.84E-6</v>
      </c>
      <c r="I634" s="2">
        <f t="shared" si="46"/>
        <v>-5.7351821769904632</v>
      </c>
      <c r="J634" s="2">
        <f t="shared" si="47"/>
        <v>-5.5351830517936662</v>
      </c>
      <c r="K634" s="1">
        <f t="shared" si="48"/>
        <v>342912.29099152965</v>
      </c>
      <c r="L634" s="17">
        <f t="shared" si="49"/>
        <v>6.4893571805352188</v>
      </c>
    </row>
    <row r="635" spans="1:12" hidden="1" x14ac:dyDescent="0.3">
      <c r="A635" s="4">
        <v>1.99526</v>
      </c>
      <c r="B635" s="5" t="s">
        <v>28</v>
      </c>
      <c r="C635" s="5">
        <v>150</v>
      </c>
      <c r="D635" s="4">
        <v>6.5095999999999998</v>
      </c>
      <c r="E635" s="4">
        <v>-1.6671999999999999E-2</v>
      </c>
      <c r="F635" s="6">
        <v>-2.5999999999999999E-3</v>
      </c>
      <c r="G635" s="7">
        <f t="shared" si="45"/>
        <v>0.29999949611698379</v>
      </c>
      <c r="H635" s="1">
        <v>1.84E-6</v>
      </c>
      <c r="I635" s="2">
        <f t="shared" si="46"/>
        <v>-5.7351821769904632</v>
      </c>
      <c r="J635" s="2">
        <f t="shared" si="47"/>
        <v>-5.4351826808734796</v>
      </c>
      <c r="K635" s="1">
        <f t="shared" si="48"/>
        <v>272384.68213143433</v>
      </c>
      <c r="L635" s="17">
        <f t="shared" si="49"/>
        <v>6.5096213496319422</v>
      </c>
    </row>
    <row r="636" spans="1:12" hidden="1" x14ac:dyDescent="0.3">
      <c r="A636" s="4">
        <v>2.5118900000000002</v>
      </c>
      <c r="B636" s="5" t="s">
        <v>28</v>
      </c>
      <c r="C636" s="5">
        <v>150</v>
      </c>
      <c r="D636" s="4">
        <v>6.4995000000000003</v>
      </c>
      <c r="E636" s="4">
        <v>-1.6882000000000001E-2</v>
      </c>
      <c r="F636" s="6">
        <v>-2.5999999999999999E-3</v>
      </c>
      <c r="G636" s="7">
        <f t="shared" si="45"/>
        <v>0.40000061697637995</v>
      </c>
      <c r="H636" s="1">
        <v>1.84E-6</v>
      </c>
      <c r="I636" s="2">
        <f t="shared" si="46"/>
        <v>-5.7351821769904632</v>
      </c>
      <c r="J636" s="2">
        <f t="shared" si="47"/>
        <v>-5.3351815600140835</v>
      </c>
      <c r="K636" s="1">
        <f t="shared" si="48"/>
        <v>216362.28531884964</v>
      </c>
      <c r="L636" s="17">
        <f t="shared" si="49"/>
        <v>6.4995219248744753</v>
      </c>
    </row>
    <row r="637" spans="1:12" x14ac:dyDescent="0.3">
      <c r="A637" s="4">
        <v>3.16228</v>
      </c>
      <c r="B637" s="5" t="s">
        <v>28</v>
      </c>
      <c r="C637" s="5">
        <v>150</v>
      </c>
      <c r="D637" s="4">
        <v>6.5389999999999997</v>
      </c>
      <c r="E637" s="4">
        <v>6.0940500000000002E-3</v>
      </c>
      <c r="F637" s="8">
        <v>9.3194999999999997E-4</v>
      </c>
      <c r="G637" s="7">
        <f t="shared" si="45"/>
        <v>0.50000032134293526</v>
      </c>
      <c r="H637" s="1">
        <v>1.84E-6</v>
      </c>
      <c r="I637" s="2">
        <f t="shared" si="46"/>
        <v>-5.7351821769904632</v>
      </c>
      <c r="J637" s="2">
        <f t="shared" si="47"/>
        <v>-5.2351818556475278</v>
      </c>
      <c r="K637" s="1">
        <f t="shared" si="48"/>
        <v>171862.78914883093</v>
      </c>
      <c r="L637" s="17">
        <f t="shared" si="49"/>
        <v>6.5390028396878215</v>
      </c>
    </row>
    <row r="638" spans="1:12" x14ac:dyDescent="0.3">
      <c r="A638" s="4">
        <v>3.9810699999999999</v>
      </c>
      <c r="B638" s="5" t="s">
        <v>28</v>
      </c>
      <c r="C638" s="5">
        <v>150</v>
      </c>
      <c r="D638" s="4">
        <v>6.5495000000000001</v>
      </c>
      <c r="E638" s="4">
        <v>7.77409E-3</v>
      </c>
      <c r="F638" s="6">
        <v>1.1900000000000001E-3</v>
      </c>
      <c r="G638" s="7">
        <f t="shared" si="45"/>
        <v>0.59999981394342006</v>
      </c>
      <c r="H638" s="1">
        <v>1.84E-6</v>
      </c>
      <c r="I638" s="2">
        <f t="shared" si="46"/>
        <v>-5.7351821769904632</v>
      </c>
      <c r="J638" s="2">
        <f t="shared" si="47"/>
        <v>-5.1351823630470435</v>
      </c>
      <c r="K638" s="1">
        <f t="shared" si="48"/>
        <v>136515.62541466649</v>
      </c>
      <c r="L638" s="17">
        <f t="shared" si="49"/>
        <v>6.5495046138219744</v>
      </c>
    </row>
    <row r="639" spans="1:12" x14ac:dyDescent="0.3">
      <c r="A639" s="4">
        <v>5.01187</v>
      </c>
      <c r="B639" s="5" t="s">
        <v>28</v>
      </c>
      <c r="C639" s="5">
        <v>150</v>
      </c>
      <c r="D639" s="4">
        <v>6.5533999999999999</v>
      </c>
      <c r="E639" s="4">
        <v>2.1804900000000002E-2</v>
      </c>
      <c r="F639" s="6">
        <v>3.3300000000000001E-3</v>
      </c>
      <c r="G639" s="7">
        <f t="shared" si="45"/>
        <v>0.69999979755458241</v>
      </c>
      <c r="H639" s="1">
        <v>1.84E-6</v>
      </c>
      <c r="I639" s="2">
        <f t="shared" si="46"/>
        <v>-5.7351821769904632</v>
      </c>
      <c r="J639" s="2">
        <f t="shared" si="47"/>
        <v>-5.0351823794358808</v>
      </c>
      <c r="K639" s="1">
        <f t="shared" si="48"/>
        <v>108438.21984001283</v>
      </c>
      <c r="L639" s="17">
        <f t="shared" si="49"/>
        <v>6.5534362752424782</v>
      </c>
    </row>
    <row r="640" spans="1:12" x14ac:dyDescent="0.3">
      <c r="A640" s="4">
        <v>6.3095800000000004</v>
      </c>
      <c r="B640" s="5" t="s">
        <v>28</v>
      </c>
      <c r="C640" s="5">
        <v>150</v>
      </c>
      <c r="D640" s="4">
        <v>6.5688000000000004</v>
      </c>
      <c r="E640" s="4">
        <v>5.16461E-2</v>
      </c>
      <c r="F640" s="6">
        <v>7.8600000000000007E-3</v>
      </c>
      <c r="G640" s="7">
        <f t="shared" si="45"/>
        <v>0.80000045120084495</v>
      </c>
      <c r="H640" s="1">
        <v>1.84E-6</v>
      </c>
      <c r="I640" s="2">
        <f t="shared" si="46"/>
        <v>-5.7351821769904632</v>
      </c>
      <c r="J640" s="2">
        <f t="shared" si="47"/>
        <v>-4.9351817257896187</v>
      </c>
      <c r="K640" s="1">
        <f t="shared" si="48"/>
        <v>86135.4101017129</v>
      </c>
      <c r="L640" s="17">
        <f t="shared" si="49"/>
        <v>6.5690030263081187</v>
      </c>
    </row>
    <row r="641" spans="1:12" x14ac:dyDescent="0.3">
      <c r="A641" s="4">
        <v>7.9432900000000002</v>
      </c>
      <c r="B641" s="5" t="s">
        <v>28</v>
      </c>
      <c r="C641" s="5">
        <v>150</v>
      </c>
      <c r="D641" s="4">
        <v>6.6078000000000001</v>
      </c>
      <c r="E641" s="4">
        <v>4.4649800000000003E-2</v>
      </c>
      <c r="F641" s="6">
        <v>6.7600000000000004E-3</v>
      </c>
      <c r="G641" s="7">
        <f t="shared" si="45"/>
        <v>0.90000041840998102</v>
      </c>
      <c r="H641" s="1">
        <v>1.84E-6</v>
      </c>
      <c r="I641" s="2">
        <f t="shared" si="46"/>
        <v>-5.7351821769904632</v>
      </c>
      <c r="J641" s="2">
        <f t="shared" si="47"/>
        <v>-4.8351817585804824</v>
      </c>
      <c r="K641" s="1">
        <f t="shared" si="48"/>
        <v>68419.793419296679</v>
      </c>
      <c r="L641" s="17">
        <f t="shared" si="49"/>
        <v>6.6079508506525713</v>
      </c>
    </row>
    <row r="642" spans="1:12" x14ac:dyDescent="0.3">
      <c r="A642" s="4">
        <v>10</v>
      </c>
      <c r="B642" s="5" t="s">
        <v>28</v>
      </c>
      <c r="C642" s="5">
        <v>150</v>
      </c>
      <c r="D642" s="4">
        <v>6.6246999999999998</v>
      </c>
      <c r="E642" s="4">
        <v>9.0888700000000003E-2</v>
      </c>
      <c r="F642" s="6">
        <v>1.372E-2</v>
      </c>
      <c r="G642" s="7">
        <f t="shared" si="45"/>
        <v>1</v>
      </c>
      <c r="H642" s="1">
        <v>1.84E-6</v>
      </c>
      <c r="I642" s="2">
        <f t="shared" si="46"/>
        <v>-5.7351821769904632</v>
      </c>
      <c r="J642" s="2">
        <f t="shared" si="47"/>
        <v>-4.7351821769904632</v>
      </c>
      <c r="K642" s="1">
        <f t="shared" si="48"/>
        <v>54347.826086956542</v>
      </c>
      <c r="L642" s="17">
        <f t="shared" si="49"/>
        <v>6.6253234521635003</v>
      </c>
    </row>
    <row r="643" spans="1:12" x14ac:dyDescent="0.3">
      <c r="A643" s="4">
        <v>12.5893</v>
      </c>
      <c r="B643" s="5" t="s">
        <v>28</v>
      </c>
      <c r="C643" s="5">
        <v>150</v>
      </c>
      <c r="D643" s="4">
        <v>6.6477000000000004</v>
      </c>
      <c r="E643" s="4">
        <v>0.10609</v>
      </c>
      <c r="F643" s="6">
        <v>1.5959999999999998E-2</v>
      </c>
      <c r="G643" s="7">
        <f t="shared" ref="G643:G706" si="50">LOG(A643)</f>
        <v>1.1000015828013521</v>
      </c>
      <c r="H643" s="1">
        <v>1.84E-6</v>
      </c>
      <c r="I643" s="2">
        <f t="shared" ref="I643:I706" si="51">LOG(H643)</f>
        <v>-5.7351821769904632</v>
      </c>
      <c r="J643" s="2">
        <f t="shared" ref="J643:J706" si="52">G643+I643</f>
        <v>-4.6351805941891113</v>
      </c>
      <c r="K643" s="1">
        <f t="shared" ref="K643:K706" si="53">1/10^J643</f>
        <v>43169.855422427456</v>
      </c>
      <c r="L643" s="17">
        <f t="shared" ref="L643:L706" si="54">SQRT(D643^2+E643^2)</f>
        <v>6.6485464861201056</v>
      </c>
    </row>
    <row r="644" spans="1:12" x14ac:dyDescent="0.3">
      <c r="A644" s="4">
        <v>15.8489</v>
      </c>
      <c r="B644" s="5" t="s">
        <v>28</v>
      </c>
      <c r="C644" s="5">
        <v>150</v>
      </c>
      <c r="D644" s="4">
        <v>6.6867000000000001</v>
      </c>
      <c r="E644" s="4">
        <v>0.14199999999999999</v>
      </c>
      <c r="F644" s="6">
        <v>2.1239999999999998E-2</v>
      </c>
      <c r="G644" s="7">
        <f t="shared" si="50"/>
        <v>1.1999991251967967</v>
      </c>
      <c r="H644" s="1">
        <v>1.84E-6</v>
      </c>
      <c r="I644" s="2">
        <f t="shared" si="51"/>
        <v>-5.7351821769904632</v>
      </c>
      <c r="J644" s="2">
        <f t="shared" si="52"/>
        <v>-4.5351830517936662</v>
      </c>
      <c r="K644" s="1">
        <f t="shared" si="53"/>
        <v>34291.229099152923</v>
      </c>
      <c r="L644" s="17">
        <f t="shared" si="54"/>
        <v>6.6882075992002523</v>
      </c>
    </row>
    <row r="645" spans="1:12" x14ac:dyDescent="0.3">
      <c r="A645" s="4">
        <v>19.9526</v>
      </c>
      <c r="B645" s="5" t="s">
        <v>28</v>
      </c>
      <c r="C645" s="5">
        <v>150</v>
      </c>
      <c r="D645" s="4">
        <v>6.7046000000000001</v>
      </c>
      <c r="E645" s="4">
        <v>0.18087</v>
      </c>
      <c r="F645" s="6">
        <v>2.6980000000000001E-2</v>
      </c>
      <c r="G645" s="7">
        <f t="shared" si="50"/>
        <v>1.2999994961169838</v>
      </c>
      <c r="H645" s="1">
        <v>1.84E-6</v>
      </c>
      <c r="I645" s="2">
        <f t="shared" si="51"/>
        <v>-5.7351821769904632</v>
      </c>
      <c r="J645" s="2">
        <f t="shared" si="52"/>
        <v>-4.4351826808734796</v>
      </c>
      <c r="K645" s="1">
        <f t="shared" si="53"/>
        <v>27238.468213143398</v>
      </c>
      <c r="L645" s="17">
        <f t="shared" si="54"/>
        <v>6.7070392213628809</v>
      </c>
    </row>
    <row r="646" spans="1:12" x14ac:dyDescent="0.3">
      <c r="A646" s="4">
        <v>25.1189</v>
      </c>
      <c r="B646" s="5" t="s">
        <v>28</v>
      </c>
      <c r="C646" s="5">
        <v>150</v>
      </c>
      <c r="D646" s="4">
        <v>6.7324999999999999</v>
      </c>
      <c r="E646" s="4">
        <v>0.22298000000000001</v>
      </c>
      <c r="F646" s="6">
        <v>3.3119999999999997E-2</v>
      </c>
      <c r="G646" s="7">
        <f t="shared" si="50"/>
        <v>1.4000006169763799</v>
      </c>
      <c r="H646" s="1">
        <v>1.84E-6</v>
      </c>
      <c r="I646" s="2">
        <f t="shared" si="51"/>
        <v>-5.7351821769904632</v>
      </c>
      <c r="J646" s="2">
        <f t="shared" si="52"/>
        <v>-4.3351815600140835</v>
      </c>
      <c r="K646" s="1">
        <f t="shared" si="53"/>
        <v>21636.228531884983</v>
      </c>
      <c r="L646" s="17">
        <f t="shared" si="54"/>
        <v>6.7361915301155149</v>
      </c>
    </row>
    <row r="647" spans="1:12" x14ac:dyDescent="0.3">
      <c r="A647" s="4">
        <v>31.622800000000002</v>
      </c>
      <c r="B647" s="5" t="s">
        <v>28</v>
      </c>
      <c r="C647" s="5">
        <v>150</v>
      </c>
      <c r="D647" s="4">
        <v>6.7648000000000001</v>
      </c>
      <c r="E647" s="4">
        <v>0.28491</v>
      </c>
      <c r="F647" s="6">
        <v>4.2119999999999998E-2</v>
      </c>
      <c r="G647" s="7">
        <f t="shared" si="50"/>
        <v>1.5000003213429354</v>
      </c>
      <c r="H647" s="1">
        <v>1.84E-6</v>
      </c>
      <c r="I647" s="2">
        <f t="shared" si="51"/>
        <v>-5.7351821769904632</v>
      </c>
      <c r="J647" s="2">
        <f t="shared" si="52"/>
        <v>-4.2351818556475278</v>
      </c>
      <c r="K647" s="1">
        <f t="shared" si="53"/>
        <v>17186.278914883103</v>
      </c>
      <c r="L647" s="17">
        <f t="shared" si="54"/>
        <v>6.7707970541214717</v>
      </c>
    </row>
    <row r="648" spans="1:12" x14ac:dyDescent="0.3">
      <c r="A648" s="4">
        <v>39.810699999999997</v>
      </c>
      <c r="B648" s="5" t="s">
        <v>28</v>
      </c>
      <c r="C648" s="5">
        <v>150</v>
      </c>
      <c r="D648" s="4">
        <v>6.7995000000000001</v>
      </c>
      <c r="E648" s="4">
        <v>0.34600999999999998</v>
      </c>
      <c r="F648" s="6">
        <v>5.0889999999999998E-2</v>
      </c>
      <c r="G648" s="7">
        <f t="shared" si="50"/>
        <v>1.5999998139434199</v>
      </c>
      <c r="H648" s="1">
        <v>1.84E-6</v>
      </c>
      <c r="I648" s="2">
        <f t="shared" si="51"/>
        <v>-5.7351821769904632</v>
      </c>
      <c r="J648" s="2">
        <f t="shared" si="52"/>
        <v>-4.1351823630470435</v>
      </c>
      <c r="K648" s="1">
        <f t="shared" si="53"/>
        <v>13651.562541466634</v>
      </c>
      <c r="L648" s="17">
        <f t="shared" si="54"/>
        <v>6.8082981111361454</v>
      </c>
    </row>
    <row r="649" spans="1:12" x14ac:dyDescent="0.3">
      <c r="A649" s="4">
        <v>50.1188</v>
      </c>
      <c r="B649" s="5" t="s">
        <v>28</v>
      </c>
      <c r="C649" s="5">
        <v>150</v>
      </c>
      <c r="D649" s="4">
        <v>6.8604000000000003</v>
      </c>
      <c r="E649" s="4">
        <v>0.40203</v>
      </c>
      <c r="F649" s="6">
        <v>5.8599999999999999E-2</v>
      </c>
      <c r="G649" s="7">
        <f t="shared" si="50"/>
        <v>1.7000006640855352</v>
      </c>
      <c r="H649" s="1">
        <v>1.84E-6</v>
      </c>
      <c r="I649" s="2">
        <f t="shared" si="51"/>
        <v>-5.7351821769904632</v>
      </c>
      <c r="J649" s="2">
        <f t="shared" si="52"/>
        <v>-4.035181512904928</v>
      </c>
      <c r="K649" s="1">
        <f t="shared" si="53"/>
        <v>10843.800347765005</v>
      </c>
      <c r="L649" s="17">
        <f t="shared" si="54"/>
        <v>6.8721696923824576</v>
      </c>
    </row>
    <row r="650" spans="1:12" x14ac:dyDescent="0.3">
      <c r="A650" s="4">
        <v>63.095799999999997</v>
      </c>
      <c r="B650" s="5" t="s">
        <v>28</v>
      </c>
      <c r="C650" s="5">
        <v>150</v>
      </c>
      <c r="D650" s="4">
        <v>6.9169999999999998</v>
      </c>
      <c r="E650" s="4">
        <v>0.47704999999999997</v>
      </c>
      <c r="F650" s="6">
        <v>6.8970000000000004E-2</v>
      </c>
      <c r="G650" s="7">
        <f t="shared" si="50"/>
        <v>1.800000451200845</v>
      </c>
      <c r="H650" s="1">
        <v>1.84E-6</v>
      </c>
      <c r="I650" s="2">
        <f t="shared" si="51"/>
        <v>-5.7351821769904632</v>
      </c>
      <c r="J650" s="2">
        <f t="shared" si="52"/>
        <v>-3.9351817257896182</v>
      </c>
      <c r="K650" s="1">
        <f t="shared" si="53"/>
        <v>8613.5410101712805</v>
      </c>
      <c r="L650" s="17">
        <f t="shared" si="54"/>
        <v>6.9334310195241722</v>
      </c>
    </row>
    <row r="651" spans="1:12" x14ac:dyDescent="0.3">
      <c r="A651" s="4">
        <v>79.432900000000004</v>
      </c>
      <c r="B651" s="5" t="s">
        <v>28</v>
      </c>
      <c r="C651" s="5">
        <v>150</v>
      </c>
      <c r="D651" s="4">
        <v>6.9890999999999996</v>
      </c>
      <c r="E651" s="4">
        <v>0.55061000000000004</v>
      </c>
      <c r="F651" s="6">
        <v>7.8780000000000003E-2</v>
      </c>
      <c r="G651" s="7">
        <f t="shared" si="50"/>
        <v>1.900000418409981</v>
      </c>
      <c r="H651" s="1">
        <v>1.84E-6</v>
      </c>
      <c r="I651" s="2">
        <f t="shared" si="51"/>
        <v>-5.7351821769904632</v>
      </c>
      <c r="J651" s="2">
        <f t="shared" si="52"/>
        <v>-3.8351817585804824</v>
      </c>
      <c r="K651" s="1">
        <f t="shared" si="53"/>
        <v>6841.9793419296739</v>
      </c>
      <c r="L651" s="17">
        <f t="shared" si="54"/>
        <v>7.0107553217966467</v>
      </c>
    </row>
    <row r="652" spans="1:12" x14ac:dyDescent="0.3">
      <c r="A652" s="4">
        <v>100</v>
      </c>
      <c r="B652" s="5" t="s">
        <v>28</v>
      </c>
      <c r="C652" s="5">
        <v>150</v>
      </c>
      <c r="D652" s="4">
        <v>7.0415000000000001</v>
      </c>
      <c r="E652" s="4">
        <v>0.63312999999999997</v>
      </c>
      <c r="F652" s="6">
        <v>8.9910000000000004E-2</v>
      </c>
      <c r="G652" s="7">
        <f t="shared" si="50"/>
        <v>2</v>
      </c>
      <c r="H652" s="1">
        <v>1.84E-6</v>
      </c>
      <c r="I652" s="2">
        <f t="shared" si="51"/>
        <v>-5.7351821769904632</v>
      </c>
      <c r="J652" s="2">
        <f t="shared" si="52"/>
        <v>-3.7351821769904632</v>
      </c>
      <c r="K652" s="1">
        <f t="shared" si="53"/>
        <v>5434.7826086956484</v>
      </c>
      <c r="L652" s="17">
        <f t="shared" si="54"/>
        <v>7.0699063534745639</v>
      </c>
    </row>
    <row r="653" spans="1:12" hidden="1" x14ac:dyDescent="0.3">
      <c r="A653" s="9">
        <v>0.1</v>
      </c>
      <c r="B653" s="10" t="s">
        <v>29</v>
      </c>
      <c r="C653" s="5">
        <v>160</v>
      </c>
      <c r="D653" s="9">
        <v>6.6212999999999997</v>
      </c>
      <c r="E653" s="9">
        <v>-1.4330000000000001E-2</v>
      </c>
      <c r="F653" s="11">
        <v>-2.2000000000000001E-3</v>
      </c>
      <c r="G653" s="12">
        <f t="shared" si="50"/>
        <v>-1</v>
      </c>
      <c r="H653" s="1">
        <v>5.5199999999999997E-7</v>
      </c>
      <c r="I653" s="2">
        <f t="shared" si="51"/>
        <v>-6.2580609222708015</v>
      </c>
      <c r="J653" s="2">
        <f t="shared" si="52"/>
        <v>-7.2580609222708015</v>
      </c>
      <c r="K653" s="1">
        <f t="shared" si="53"/>
        <v>18115942.028985519</v>
      </c>
      <c r="L653" s="17">
        <f t="shared" si="54"/>
        <v>6.6213155066723708</v>
      </c>
    </row>
    <row r="654" spans="1:12" hidden="1" x14ac:dyDescent="0.3">
      <c r="A654" s="9">
        <v>0.12589</v>
      </c>
      <c r="B654" s="10" t="s">
        <v>29</v>
      </c>
      <c r="C654" s="5">
        <v>160</v>
      </c>
      <c r="D654" s="9">
        <v>6.5275999999999996</v>
      </c>
      <c r="E654" s="9">
        <v>-4.0273999999999997E-2</v>
      </c>
      <c r="F654" s="11">
        <v>-6.1999999999999998E-3</v>
      </c>
      <c r="G654" s="12">
        <f t="shared" si="50"/>
        <v>-0.90000876645531558</v>
      </c>
      <c r="H654" s="1">
        <v>5.5199999999999997E-7</v>
      </c>
      <c r="I654" s="2">
        <f t="shared" si="51"/>
        <v>-6.2580609222708015</v>
      </c>
      <c r="J654" s="2">
        <f t="shared" si="52"/>
        <v>-7.1580696887261173</v>
      </c>
      <c r="K654" s="1">
        <f t="shared" si="53"/>
        <v>14390294.724748222</v>
      </c>
      <c r="L654" s="17">
        <f t="shared" si="54"/>
        <v>6.5277242401219739</v>
      </c>
    </row>
    <row r="655" spans="1:12" hidden="1" x14ac:dyDescent="0.3">
      <c r="A655" s="9">
        <v>0.15848999999999999</v>
      </c>
      <c r="B655" s="10" t="s">
        <v>29</v>
      </c>
      <c r="C655" s="5">
        <v>160</v>
      </c>
      <c r="D655" s="9">
        <v>6.4957000000000003</v>
      </c>
      <c r="E655" s="9">
        <v>-4.7868000000000001E-2</v>
      </c>
      <c r="F655" s="11">
        <v>-7.4000000000000003E-3</v>
      </c>
      <c r="G655" s="12">
        <f t="shared" si="50"/>
        <v>-0.79999813459339819</v>
      </c>
      <c r="H655" s="1">
        <v>5.5199999999999997E-7</v>
      </c>
      <c r="I655" s="2">
        <f t="shared" si="51"/>
        <v>-6.2580609222708015</v>
      </c>
      <c r="J655" s="2">
        <f t="shared" si="52"/>
        <v>-7.0580590568641997</v>
      </c>
      <c r="K655" s="1">
        <f t="shared" si="53"/>
        <v>11430337.579017958</v>
      </c>
      <c r="L655" s="17">
        <f t="shared" si="54"/>
        <v>6.4958763716240782</v>
      </c>
    </row>
    <row r="656" spans="1:12" hidden="1" x14ac:dyDescent="0.3">
      <c r="A656" s="9">
        <v>0.19953000000000001</v>
      </c>
      <c r="B656" s="10" t="s">
        <v>29</v>
      </c>
      <c r="C656" s="5">
        <v>160</v>
      </c>
      <c r="D656" s="9">
        <v>6.4898999999999996</v>
      </c>
      <c r="E656" s="9">
        <v>-5.2901999999999998E-2</v>
      </c>
      <c r="F656" s="11">
        <v>-8.2000000000000007E-3</v>
      </c>
      <c r="G656" s="12">
        <f t="shared" si="50"/>
        <v>-0.69999179744618689</v>
      </c>
      <c r="H656" s="1">
        <v>5.5199999999999997E-7</v>
      </c>
      <c r="I656" s="2">
        <f t="shared" si="51"/>
        <v>-6.2580609222708015</v>
      </c>
      <c r="J656" s="2">
        <f t="shared" si="52"/>
        <v>-6.9580527197169886</v>
      </c>
      <c r="K656" s="1">
        <f t="shared" si="53"/>
        <v>9079307.3868518881</v>
      </c>
      <c r="L656" s="17">
        <f t="shared" si="54"/>
        <v>6.4901156100337687</v>
      </c>
    </row>
    <row r="657" spans="1:12" hidden="1" x14ac:dyDescent="0.3">
      <c r="A657" s="9">
        <v>0.25119000000000002</v>
      </c>
      <c r="B657" s="10" t="s">
        <v>29</v>
      </c>
      <c r="C657" s="5">
        <v>160</v>
      </c>
      <c r="D657" s="9">
        <v>6.4523999999999999</v>
      </c>
      <c r="E657" s="9">
        <v>-4.6428999999999998E-2</v>
      </c>
      <c r="F657" s="11">
        <v>-7.1999999999999998E-3</v>
      </c>
      <c r="G657" s="12">
        <f t="shared" si="50"/>
        <v>-0.59999765407204408</v>
      </c>
      <c r="H657" s="1">
        <v>5.5199999999999997E-7</v>
      </c>
      <c r="I657" s="2">
        <f t="shared" si="51"/>
        <v>-6.2580609222708015</v>
      </c>
      <c r="J657" s="2">
        <f t="shared" si="52"/>
        <v>-6.8580585763428452</v>
      </c>
      <c r="K657" s="1">
        <f t="shared" si="53"/>
        <v>7212047.465657684</v>
      </c>
      <c r="L657" s="17">
        <f t="shared" si="54"/>
        <v>6.4525670404917914</v>
      </c>
    </row>
    <row r="658" spans="1:12" hidden="1" x14ac:dyDescent="0.3">
      <c r="A658" s="9">
        <v>0.31623000000000001</v>
      </c>
      <c r="B658" s="10" t="s">
        <v>29</v>
      </c>
      <c r="C658" s="5">
        <v>160</v>
      </c>
      <c r="D658" s="9">
        <v>6.5102000000000002</v>
      </c>
      <c r="E658" s="9">
        <v>-5.5645E-2</v>
      </c>
      <c r="F658" s="11">
        <v>-8.5000000000000006E-3</v>
      </c>
      <c r="G658" s="12">
        <f t="shared" si="50"/>
        <v>-0.4999969319483068</v>
      </c>
      <c r="H658" s="1">
        <v>5.5199999999999997E-7</v>
      </c>
      <c r="I658" s="2">
        <f t="shared" si="51"/>
        <v>-6.2580609222708015</v>
      </c>
      <c r="J658" s="2">
        <f t="shared" si="52"/>
        <v>-6.7580578542191079</v>
      </c>
      <c r="K658" s="1">
        <f t="shared" si="53"/>
        <v>5728723.4066930851</v>
      </c>
      <c r="L658" s="17">
        <f t="shared" si="54"/>
        <v>6.5104378044817386</v>
      </c>
    </row>
    <row r="659" spans="1:12" hidden="1" x14ac:dyDescent="0.3">
      <c r="A659" s="9">
        <v>0.39811000000000002</v>
      </c>
      <c r="B659" s="10" t="s">
        <v>29</v>
      </c>
      <c r="C659" s="5">
        <v>160</v>
      </c>
      <c r="D659" s="9">
        <v>6.5049999999999999</v>
      </c>
      <c r="E659" s="9">
        <v>-4.6933000000000002E-2</v>
      </c>
      <c r="F659" s="11">
        <v>-7.1999999999999998E-3</v>
      </c>
      <c r="G659" s="12">
        <f t="shared" si="50"/>
        <v>-0.39999691337225962</v>
      </c>
      <c r="H659" s="1">
        <v>5.5199999999999997E-7</v>
      </c>
      <c r="I659" s="2">
        <f t="shared" si="51"/>
        <v>-6.2580609222708015</v>
      </c>
      <c r="J659" s="2">
        <f t="shared" si="52"/>
        <v>-6.6580578356430609</v>
      </c>
      <c r="K659" s="1">
        <f t="shared" si="53"/>
        <v>4550486.5562245473</v>
      </c>
      <c r="L659" s="17">
        <f t="shared" si="54"/>
        <v>6.5051693065199307</v>
      </c>
    </row>
    <row r="660" spans="1:12" hidden="1" x14ac:dyDescent="0.3">
      <c r="A660" s="9">
        <v>0.50119000000000002</v>
      </c>
      <c r="B660" s="10" t="s">
        <v>29</v>
      </c>
      <c r="C660" s="5">
        <v>160</v>
      </c>
      <c r="D660" s="9">
        <v>6.5514000000000001</v>
      </c>
      <c r="E660" s="9">
        <v>-5.8368000000000003E-2</v>
      </c>
      <c r="F660" s="11">
        <v>-8.8999999999999999E-3</v>
      </c>
      <c r="G660" s="12">
        <f t="shared" si="50"/>
        <v>-0.29999760285774607</v>
      </c>
      <c r="H660" s="1">
        <v>5.5199999999999997E-7</v>
      </c>
      <c r="I660" s="2">
        <f t="shared" si="51"/>
        <v>-6.2580609222708015</v>
      </c>
      <c r="J660" s="2">
        <f t="shared" si="52"/>
        <v>-6.5580585251285477</v>
      </c>
      <c r="K660" s="1">
        <f t="shared" si="53"/>
        <v>3614585.6918505095</v>
      </c>
      <c r="L660" s="17">
        <f t="shared" si="54"/>
        <v>6.5516600021234321</v>
      </c>
    </row>
    <row r="661" spans="1:12" hidden="1" x14ac:dyDescent="0.3">
      <c r="A661" s="9">
        <v>0.63095999999999997</v>
      </c>
      <c r="B661" s="10" t="s">
        <v>29</v>
      </c>
      <c r="C661" s="5">
        <v>160</v>
      </c>
      <c r="D661" s="9">
        <v>6.5552000000000001</v>
      </c>
      <c r="E661" s="9">
        <v>-4.7347E-2</v>
      </c>
      <c r="F661" s="11">
        <v>-7.1999999999999998E-3</v>
      </c>
      <c r="G661" s="12">
        <f t="shared" si="50"/>
        <v>-0.19999817218203128</v>
      </c>
      <c r="H661" s="1">
        <v>5.5199999999999997E-7</v>
      </c>
      <c r="I661" s="2">
        <f t="shared" si="51"/>
        <v>-6.2580609222708015</v>
      </c>
      <c r="J661" s="2">
        <f t="shared" si="52"/>
        <v>-6.4580590944528327</v>
      </c>
      <c r="K661" s="1">
        <f t="shared" si="53"/>
        <v>2871171.2357337284</v>
      </c>
      <c r="L661" s="17">
        <f t="shared" si="54"/>
        <v>6.5553709870921111</v>
      </c>
    </row>
    <row r="662" spans="1:12" hidden="1" x14ac:dyDescent="0.3">
      <c r="A662" s="9">
        <v>0.79432999999999998</v>
      </c>
      <c r="B662" s="10" t="s">
        <v>29</v>
      </c>
      <c r="C662" s="5">
        <v>160</v>
      </c>
      <c r="D662" s="9">
        <v>6.5578000000000003</v>
      </c>
      <c r="E662" s="9">
        <v>-7.6231999999999994E-2</v>
      </c>
      <c r="F662" s="11">
        <v>-1.1599999999999999E-2</v>
      </c>
      <c r="G662" s="12">
        <f t="shared" si="50"/>
        <v>-9.9999034846530471E-2</v>
      </c>
      <c r="H662" s="1">
        <v>5.5199999999999997E-7</v>
      </c>
      <c r="I662" s="2">
        <f t="shared" si="51"/>
        <v>-6.2580609222708015</v>
      </c>
      <c r="J662" s="2">
        <f t="shared" si="52"/>
        <v>-6.358059957117332</v>
      </c>
      <c r="K662" s="1">
        <f t="shared" si="53"/>
        <v>2280656.9094690564</v>
      </c>
      <c r="L662" s="17">
        <f t="shared" si="54"/>
        <v>6.5582430694374239</v>
      </c>
    </row>
    <row r="663" spans="1:12" hidden="1" x14ac:dyDescent="0.3">
      <c r="A663" s="9">
        <v>1</v>
      </c>
      <c r="B663" s="10" t="s">
        <v>29</v>
      </c>
      <c r="C663" s="5">
        <v>160</v>
      </c>
      <c r="D663" s="9">
        <v>6.5705999999999998</v>
      </c>
      <c r="E663" s="9">
        <v>-6.2706999999999999E-2</v>
      </c>
      <c r="F663" s="11">
        <v>-9.4999999999999998E-3</v>
      </c>
      <c r="G663" s="12">
        <f t="shared" si="50"/>
        <v>0</v>
      </c>
      <c r="H663" s="1">
        <v>5.5199999999999997E-7</v>
      </c>
      <c r="I663" s="2">
        <f t="shared" si="51"/>
        <v>-6.2580609222708015</v>
      </c>
      <c r="J663" s="2">
        <f t="shared" si="52"/>
        <v>-6.2580609222708015</v>
      </c>
      <c r="K663" s="1">
        <f t="shared" si="53"/>
        <v>1811594.2028985533</v>
      </c>
      <c r="L663" s="17">
        <f t="shared" si="54"/>
        <v>6.570899217599445</v>
      </c>
    </row>
    <row r="664" spans="1:12" hidden="1" x14ac:dyDescent="0.3">
      <c r="A664" s="9">
        <v>1.2589300000000001</v>
      </c>
      <c r="B664" s="10" t="s">
        <v>29</v>
      </c>
      <c r="C664" s="5">
        <v>160</v>
      </c>
      <c r="D664" s="9">
        <v>6.5739000000000001</v>
      </c>
      <c r="E664" s="9">
        <v>-6.1725000000000002E-2</v>
      </c>
      <c r="F664" s="11">
        <v>-9.4000000000000004E-3</v>
      </c>
      <c r="G664" s="12">
        <f t="shared" si="50"/>
        <v>0.10000158280135207</v>
      </c>
      <c r="H664" s="1">
        <v>5.5199999999999997E-7</v>
      </c>
      <c r="I664" s="2">
        <f t="shared" si="51"/>
        <v>-6.2580609222708015</v>
      </c>
      <c r="J664" s="2">
        <f t="shared" si="52"/>
        <v>-6.1580593394694496</v>
      </c>
      <c r="K664" s="1">
        <f t="shared" si="53"/>
        <v>1438995.1807475833</v>
      </c>
      <c r="L664" s="17">
        <f t="shared" si="54"/>
        <v>6.57418977408053</v>
      </c>
    </row>
    <row r="665" spans="1:12" hidden="1" x14ac:dyDescent="0.3">
      <c r="A665" s="9">
        <v>1.5848899999999999</v>
      </c>
      <c r="B665" s="10" t="s">
        <v>29</v>
      </c>
      <c r="C665" s="5">
        <v>160</v>
      </c>
      <c r="D665" s="9">
        <v>6.5995999999999997</v>
      </c>
      <c r="E665" s="9">
        <v>-5.1177E-2</v>
      </c>
      <c r="F665" s="11">
        <v>-7.7999999999999996E-3</v>
      </c>
      <c r="G665" s="12">
        <f t="shared" si="50"/>
        <v>0.19999912519679666</v>
      </c>
      <c r="H665" s="1">
        <v>5.5199999999999997E-7</v>
      </c>
      <c r="I665" s="2">
        <f t="shared" si="51"/>
        <v>-6.2580609222708015</v>
      </c>
      <c r="J665" s="2">
        <f t="shared" si="52"/>
        <v>-6.0580617970740045</v>
      </c>
      <c r="K665" s="1">
        <f t="shared" si="53"/>
        <v>1143040.9699717674</v>
      </c>
      <c r="L665" s="17">
        <f t="shared" si="54"/>
        <v>6.5997984245982089</v>
      </c>
    </row>
    <row r="666" spans="1:12" hidden="1" x14ac:dyDescent="0.3">
      <c r="A666" s="9">
        <v>1.99526</v>
      </c>
      <c r="B666" s="10" t="s">
        <v>29</v>
      </c>
      <c r="C666" s="5">
        <v>160</v>
      </c>
      <c r="D666" s="9">
        <v>6.5819000000000001</v>
      </c>
      <c r="E666" s="9">
        <v>-4.8689999999999997E-2</v>
      </c>
      <c r="F666" s="11">
        <v>-7.4000000000000003E-3</v>
      </c>
      <c r="G666" s="12">
        <f t="shared" si="50"/>
        <v>0.29999949611698379</v>
      </c>
      <c r="H666" s="1">
        <v>5.5199999999999997E-7</v>
      </c>
      <c r="I666" s="2">
        <f t="shared" si="51"/>
        <v>-6.2580609222708015</v>
      </c>
      <c r="J666" s="2">
        <f t="shared" si="52"/>
        <v>-5.9580614261538178</v>
      </c>
      <c r="K666" s="1">
        <f t="shared" si="53"/>
        <v>907948.94043811585</v>
      </c>
      <c r="L666" s="17">
        <f t="shared" si="54"/>
        <v>6.5820800911338058</v>
      </c>
    </row>
    <row r="667" spans="1:12" hidden="1" x14ac:dyDescent="0.3">
      <c r="A667" s="9">
        <v>2.5118900000000002</v>
      </c>
      <c r="B667" s="10" t="s">
        <v>29</v>
      </c>
      <c r="C667" s="5">
        <v>160</v>
      </c>
      <c r="D667" s="9">
        <v>6.5837000000000003</v>
      </c>
      <c r="E667" s="9">
        <v>-5.0569999999999997E-2</v>
      </c>
      <c r="F667" s="11">
        <v>-7.7000000000000002E-3</v>
      </c>
      <c r="G667" s="12">
        <f t="shared" si="50"/>
        <v>0.40000061697637995</v>
      </c>
      <c r="H667" s="1">
        <v>5.5199999999999997E-7</v>
      </c>
      <c r="I667" s="2">
        <f t="shared" si="51"/>
        <v>-6.2580609222708015</v>
      </c>
      <c r="J667" s="2">
        <f t="shared" si="52"/>
        <v>-5.8580603052944218</v>
      </c>
      <c r="K667" s="1">
        <f t="shared" si="53"/>
        <v>721207.61772950017</v>
      </c>
      <c r="L667" s="17">
        <f t="shared" si="54"/>
        <v>6.5838942135259133</v>
      </c>
    </row>
    <row r="668" spans="1:12" hidden="1" x14ac:dyDescent="0.3">
      <c r="A668" s="9">
        <v>3.16228</v>
      </c>
      <c r="B668" s="10" t="s">
        <v>29</v>
      </c>
      <c r="C668" s="5">
        <v>160</v>
      </c>
      <c r="D668" s="9">
        <v>6.6069000000000004</v>
      </c>
      <c r="E668" s="9">
        <v>-5.7625999999999997E-2</v>
      </c>
      <c r="F668" s="11">
        <v>-8.6999999999999994E-3</v>
      </c>
      <c r="G668" s="12">
        <f t="shared" si="50"/>
        <v>0.50000032134293526</v>
      </c>
      <c r="H668" s="1">
        <v>5.5199999999999997E-7</v>
      </c>
      <c r="I668" s="2">
        <f t="shared" si="51"/>
        <v>-6.2580609222708015</v>
      </c>
      <c r="J668" s="2">
        <f t="shared" si="52"/>
        <v>-5.7580606009278661</v>
      </c>
      <c r="K668" s="1">
        <f t="shared" si="53"/>
        <v>572875.96382943739</v>
      </c>
      <c r="L668" s="17">
        <f t="shared" si="54"/>
        <v>6.6071513049025903</v>
      </c>
    </row>
    <row r="669" spans="1:12" hidden="1" x14ac:dyDescent="0.3">
      <c r="A669" s="9">
        <v>3.9810699999999999</v>
      </c>
      <c r="B669" s="10" t="s">
        <v>29</v>
      </c>
      <c r="C669" s="5">
        <v>160</v>
      </c>
      <c r="D669" s="9">
        <v>6.5987999999999998</v>
      </c>
      <c r="E669" s="9">
        <v>-4.1665000000000001E-2</v>
      </c>
      <c r="F669" s="11">
        <v>-6.3E-3</v>
      </c>
      <c r="G669" s="12">
        <f t="shared" si="50"/>
        <v>0.59999981394342006</v>
      </c>
      <c r="H669" s="1">
        <v>5.5199999999999997E-7</v>
      </c>
      <c r="I669" s="2">
        <f t="shared" si="51"/>
        <v>-6.2580609222708015</v>
      </c>
      <c r="J669" s="2">
        <f t="shared" si="52"/>
        <v>-5.6580611083273817</v>
      </c>
      <c r="K669" s="1">
        <f t="shared" si="53"/>
        <v>455052.08471555571</v>
      </c>
      <c r="L669" s="17">
        <f t="shared" si="54"/>
        <v>6.5989315356521923</v>
      </c>
    </row>
    <row r="670" spans="1:12" hidden="1" x14ac:dyDescent="0.3">
      <c r="A670" s="9">
        <v>5.01187</v>
      </c>
      <c r="B670" s="10" t="s">
        <v>29</v>
      </c>
      <c r="C670" s="5">
        <v>160</v>
      </c>
      <c r="D670" s="9">
        <v>6.6193999999999997</v>
      </c>
      <c r="E670" s="9">
        <v>-3.8989999999999997E-2</v>
      </c>
      <c r="F670" s="11">
        <v>-5.8999999999999999E-3</v>
      </c>
      <c r="G670" s="12">
        <f t="shared" si="50"/>
        <v>0.69999979755458241</v>
      </c>
      <c r="H670" s="1">
        <v>5.5199999999999997E-7</v>
      </c>
      <c r="I670" s="2">
        <f t="shared" si="51"/>
        <v>-6.2580609222708015</v>
      </c>
      <c r="J670" s="2">
        <f t="shared" si="52"/>
        <v>-5.558061124716219</v>
      </c>
      <c r="K670" s="1">
        <f t="shared" si="53"/>
        <v>361460.73280004336</v>
      </c>
      <c r="L670" s="17">
        <f t="shared" si="54"/>
        <v>6.6195148296608561</v>
      </c>
    </row>
    <row r="671" spans="1:12" hidden="1" x14ac:dyDescent="0.3">
      <c r="A671" s="9">
        <v>6.3095800000000004</v>
      </c>
      <c r="B671" s="10" t="s">
        <v>29</v>
      </c>
      <c r="C671" s="5">
        <v>160</v>
      </c>
      <c r="D671" s="9">
        <v>6.6405000000000003</v>
      </c>
      <c r="E671" s="9">
        <v>-4.0986000000000002E-2</v>
      </c>
      <c r="F671" s="11">
        <v>-6.1999999999999998E-3</v>
      </c>
      <c r="G671" s="12">
        <f t="shared" si="50"/>
        <v>0.80000045120084495</v>
      </c>
      <c r="H671" s="1">
        <v>5.5199999999999997E-7</v>
      </c>
      <c r="I671" s="2">
        <f t="shared" si="51"/>
        <v>-6.2580609222708015</v>
      </c>
      <c r="J671" s="2">
        <f t="shared" si="52"/>
        <v>-5.4580604710699561</v>
      </c>
      <c r="K671" s="1">
        <f t="shared" si="53"/>
        <v>287118.0336723763</v>
      </c>
      <c r="L671" s="17">
        <f t="shared" si="54"/>
        <v>6.6406264841651801</v>
      </c>
    </row>
    <row r="672" spans="1:12" hidden="1" x14ac:dyDescent="0.3">
      <c r="A672" s="9">
        <v>7.9432900000000002</v>
      </c>
      <c r="B672" s="10" t="s">
        <v>29</v>
      </c>
      <c r="C672" s="5">
        <v>160</v>
      </c>
      <c r="D672" s="9">
        <v>6.6418999999999997</v>
      </c>
      <c r="E672" s="9">
        <v>-1.051E-2</v>
      </c>
      <c r="F672" s="11">
        <v>-1.6000000000000001E-3</v>
      </c>
      <c r="G672" s="12">
        <f t="shared" si="50"/>
        <v>0.90000041840998102</v>
      </c>
      <c r="H672" s="1">
        <v>5.5199999999999997E-7</v>
      </c>
      <c r="I672" s="2">
        <f t="shared" si="51"/>
        <v>-6.2580609222708015</v>
      </c>
      <c r="J672" s="2">
        <f t="shared" si="52"/>
        <v>-5.3580605038608207</v>
      </c>
      <c r="K672" s="1">
        <f t="shared" si="53"/>
        <v>228065.97806432305</v>
      </c>
      <c r="L672" s="17">
        <f t="shared" si="54"/>
        <v>6.6419083153940024</v>
      </c>
    </row>
    <row r="673" spans="1:12" hidden="1" x14ac:dyDescent="0.3">
      <c r="A673" s="9">
        <v>10</v>
      </c>
      <c r="B673" s="10" t="s">
        <v>29</v>
      </c>
      <c r="C673" s="5">
        <v>160</v>
      </c>
      <c r="D673" s="9">
        <v>6.6383999999999999</v>
      </c>
      <c r="E673" s="9">
        <v>-1.6715000000000001E-2</v>
      </c>
      <c r="F673" s="11">
        <v>-2.5000000000000001E-3</v>
      </c>
      <c r="G673" s="12">
        <f t="shared" si="50"/>
        <v>1</v>
      </c>
      <c r="H673" s="1">
        <v>5.5199999999999997E-7</v>
      </c>
      <c r="I673" s="2">
        <f t="shared" si="51"/>
        <v>-6.2580609222708015</v>
      </c>
      <c r="J673" s="2">
        <f t="shared" si="52"/>
        <v>-5.2580609222708015</v>
      </c>
      <c r="K673" s="1">
        <f t="shared" si="53"/>
        <v>181159.42028985545</v>
      </c>
      <c r="L673" s="17">
        <f t="shared" si="54"/>
        <v>6.6384210435332438</v>
      </c>
    </row>
    <row r="674" spans="1:12" hidden="1" x14ac:dyDescent="0.3">
      <c r="A674" s="9">
        <v>12.5893</v>
      </c>
      <c r="B674" s="10" t="s">
        <v>29</v>
      </c>
      <c r="C674" s="5">
        <v>160</v>
      </c>
      <c r="D674" s="9">
        <v>6.6387</v>
      </c>
      <c r="E674" s="9">
        <v>-9.4319E-3</v>
      </c>
      <c r="F674" s="11">
        <v>-1.4E-3</v>
      </c>
      <c r="G674" s="12">
        <f t="shared" si="50"/>
        <v>1.1000015828013521</v>
      </c>
      <c r="H674" s="1">
        <v>5.5199999999999997E-7</v>
      </c>
      <c r="I674" s="2">
        <f t="shared" si="51"/>
        <v>-6.2580609222708015</v>
      </c>
      <c r="J674" s="2">
        <f t="shared" si="52"/>
        <v>-5.1580593394694496</v>
      </c>
      <c r="K674" s="1">
        <f t="shared" si="53"/>
        <v>143899.51807475841</v>
      </c>
      <c r="L674" s="17">
        <f t="shared" si="54"/>
        <v>6.6387067001591209</v>
      </c>
    </row>
    <row r="675" spans="1:12" x14ac:dyDescent="0.3">
      <c r="A675" s="9">
        <v>15.8489</v>
      </c>
      <c r="B675" s="10" t="s">
        <v>29</v>
      </c>
      <c r="C675" s="5">
        <v>160</v>
      </c>
      <c r="D675" s="9">
        <v>6.6627999999999998</v>
      </c>
      <c r="E675" s="9">
        <v>1.1866399999999999E-2</v>
      </c>
      <c r="F675" s="11">
        <v>1.7799999999999999E-3</v>
      </c>
      <c r="G675" s="12">
        <f t="shared" si="50"/>
        <v>1.1999991251967967</v>
      </c>
      <c r="H675" s="1">
        <v>5.5199999999999997E-7</v>
      </c>
      <c r="I675" s="2">
        <f t="shared" si="51"/>
        <v>-6.2580609222708015</v>
      </c>
      <c r="J675" s="2">
        <f t="shared" si="52"/>
        <v>-5.0580617970740045</v>
      </c>
      <c r="K675" s="1">
        <f t="shared" si="53"/>
        <v>114304.0969971766</v>
      </c>
      <c r="L675" s="17">
        <f t="shared" si="54"/>
        <v>6.6628105669791449</v>
      </c>
    </row>
    <row r="676" spans="1:12" x14ac:dyDescent="0.3">
      <c r="A676" s="9">
        <v>19.9526</v>
      </c>
      <c r="B676" s="10" t="s">
        <v>29</v>
      </c>
      <c r="C676" s="5">
        <v>160</v>
      </c>
      <c r="D676" s="9">
        <v>6.6840999999999999</v>
      </c>
      <c r="E676" s="9">
        <v>2.1964099999999997E-2</v>
      </c>
      <c r="F676" s="11">
        <v>3.29E-3</v>
      </c>
      <c r="G676" s="12">
        <f t="shared" si="50"/>
        <v>1.2999994961169838</v>
      </c>
      <c r="H676" s="1">
        <v>5.5199999999999997E-7</v>
      </c>
      <c r="I676" s="2">
        <f t="shared" si="51"/>
        <v>-6.2580609222708015</v>
      </c>
      <c r="J676" s="2">
        <f t="shared" si="52"/>
        <v>-4.9580614261538178</v>
      </c>
      <c r="K676" s="1">
        <f t="shared" si="53"/>
        <v>90794.894043811655</v>
      </c>
      <c r="L676" s="17">
        <f t="shared" si="54"/>
        <v>6.6841360871610629</v>
      </c>
    </row>
    <row r="677" spans="1:12" x14ac:dyDescent="0.3">
      <c r="A677" s="9">
        <v>25.1189</v>
      </c>
      <c r="B677" s="10" t="s">
        <v>29</v>
      </c>
      <c r="C677" s="5">
        <v>160</v>
      </c>
      <c r="D677" s="9">
        <v>6.7054999999999998</v>
      </c>
      <c r="E677" s="9">
        <v>4.5626300000000002E-2</v>
      </c>
      <c r="F677" s="11">
        <v>6.7999999999999996E-3</v>
      </c>
      <c r="G677" s="12">
        <f t="shared" si="50"/>
        <v>1.4000006169763799</v>
      </c>
      <c r="H677" s="1">
        <v>5.5199999999999997E-7</v>
      </c>
      <c r="I677" s="2">
        <f t="shared" si="51"/>
        <v>-6.2580609222708015</v>
      </c>
      <c r="J677" s="2">
        <f t="shared" si="52"/>
        <v>-4.8580603052944218</v>
      </c>
      <c r="K677" s="1">
        <f t="shared" si="53"/>
        <v>72120.761772950063</v>
      </c>
      <c r="L677" s="17">
        <f t="shared" si="54"/>
        <v>6.7056552259456108</v>
      </c>
    </row>
    <row r="678" spans="1:12" x14ac:dyDescent="0.3">
      <c r="A678" s="9">
        <v>31.622800000000002</v>
      </c>
      <c r="B678" s="10" t="s">
        <v>29</v>
      </c>
      <c r="C678" s="5">
        <v>160</v>
      </c>
      <c r="D678" s="9">
        <v>6.7023999999999999</v>
      </c>
      <c r="E678" s="9">
        <v>6.5092899999999995E-2</v>
      </c>
      <c r="F678" s="11">
        <v>9.7099999999999999E-3</v>
      </c>
      <c r="G678" s="12">
        <f t="shared" si="50"/>
        <v>1.5000003213429354</v>
      </c>
      <c r="H678" s="1">
        <v>5.5199999999999997E-7</v>
      </c>
      <c r="I678" s="2">
        <f t="shared" si="51"/>
        <v>-6.2580609222708015</v>
      </c>
      <c r="J678" s="2">
        <f t="shared" si="52"/>
        <v>-4.7580606009278661</v>
      </c>
      <c r="K678" s="1">
        <f t="shared" si="53"/>
        <v>57287.59638294379</v>
      </c>
      <c r="L678" s="17">
        <f t="shared" si="54"/>
        <v>6.7027160797418839</v>
      </c>
    </row>
    <row r="679" spans="1:12" x14ac:dyDescent="0.3">
      <c r="A679" s="9">
        <v>39.810699999999997</v>
      </c>
      <c r="B679" s="10" t="s">
        <v>29</v>
      </c>
      <c r="C679" s="5">
        <v>160</v>
      </c>
      <c r="D679" s="9">
        <v>6.7313000000000001</v>
      </c>
      <c r="E679" s="9">
        <v>8.7520500000000001E-2</v>
      </c>
      <c r="F679" s="11">
        <v>1.2999999999999999E-2</v>
      </c>
      <c r="G679" s="12">
        <f t="shared" si="50"/>
        <v>1.5999998139434199</v>
      </c>
      <c r="H679" s="1">
        <v>5.5199999999999997E-7</v>
      </c>
      <c r="I679" s="2">
        <f t="shared" si="51"/>
        <v>-6.2580609222708015</v>
      </c>
      <c r="J679" s="2">
        <f t="shared" si="52"/>
        <v>-4.6580611083273817</v>
      </c>
      <c r="K679" s="1">
        <f t="shared" si="53"/>
        <v>45505.208471555525</v>
      </c>
      <c r="L679" s="17">
        <f t="shared" si="54"/>
        <v>6.7318689476192457</v>
      </c>
    </row>
    <row r="680" spans="1:12" x14ac:dyDescent="0.3">
      <c r="A680" s="9">
        <v>50.1188</v>
      </c>
      <c r="B680" s="10" t="s">
        <v>29</v>
      </c>
      <c r="C680" s="5">
        <v>160</v>
      </c>
      <c r="D680" s="9">
        <v>6.7386999999999997</v>
      </c>
      <c r="E680" s="9">
        <v>0.13533999999999999</v>
      </c>
      <c r="F680" s="11">
        <v>2.0080000000000001E-2</v>
      </c>
      <c r="G680" s="12">
        <f t="shared" si="50"/>
        <v>1.7000006640855352</v>
      </c>
      <c r="H680" s="1">
        <v>5.5199999999999997E-7</v>
      </c>
      <c r="I680" s="2">
        <f t="shared" si="51"/>
        <v>-6.2580609222708015</v>
      </c>
      <c r="J680" s="2">
        <f t="shared" si="52"/>
        <v>-4.5580602581852663</v>
      </c>
      <c r="K680" s="1">
        <f t="shared" si="53"/>
        <v>36146.001159216808</v>
      </c>
      <c r="L680" s="17">
        <f t="shared" si="54"/>
        <v>6.740058946745199</v>
      </c>
    </row>
    <row r="681" spans="1:12" x14ac:dyDescent="0.3">
      <c r="A681" s="9">
        <v>63.095799999999997</v>
      </c>
      <c r="B681" s="10" t="s">
        <v>29</v>
      </c>
      <c r="C681" s="5">
        <v>160</v>
      </c>
      <c r="D681" s="9">
        <v>6.7651000000000003</v>
      </c>
      <c r="E681" s="9">
        <v>0.17196</v>
      </c>
      <c r="F681" s="11">
        <v>2.5420000000000002E-2</v>
      </c>
      <c r="G681" s="12">
        <f t="shared" si="50"/>
        <v>1.800000451200845</v>
      </c>
      <c r="H681" s="1">
        <v>5.5199999999999997E-7</v>
      </c>
      <c r="I681" s="2">
        <f t="shared" si="51"/>
        <v>-6.2580609222708015</v>
      </c>
      <c r="J681" s="2">
        <f t="shared" si="52"/>
        <v>-4.4580604710699561</v>
      </c>
      <c r="K681" s="1">
        <f t="shared" si="53"/>
        <v>28711.803367237648</v>
      </c>
      <c r="L681" s="17">
        <f t="shared" si="54"/>
        <v>6.7672851463197556</v>
      </c>
    </row>
    <row r="682" spans="1:12" x14ac:dyDescent="0.3">
      <c r="A682" s="9">
        <v>79.432900000000004</v>
      </c>
      <c r="B682" s="10" t="s">
        <v>29</v>
      </c>
      <c r="C682" s="5">
        <v>160</v>
      </c>
      <c r="D682" s="9">
        <v>6.7516999999999996</v>
      </c>
      <c r="E682" s="9">
        <v>0.20774999999999999</v>
      </c>
      <c r="F682" s="11">
        <v>3.0769999999999999E-2</v>
      </c>
      <c r="G682" s="12">
        <f t="shared" si="50"/>
        <v>1.900000418409981</v>
      </c>
      <c r="H682" s="1">
        <v>5.5199999999999997E-7</v>
      </c>
      <c r="I682" s="2">
        <f t="shared" si="51"/>
        <v>-6.2580609222708015</v>
      </c>
      <c r="J682" s="2">
        <f t="shared" si="52"/>
        <v>-4.3580605038608207</v>
      </c>
      <c r="K682" s="1">
        <f t="shared" si="53"/>
        <v>22806.597806432281</v>
      </c>
      <c r="L682" s="17">
        <f t="shared" si="54"/>
        <v>6.7548954805015295</v>
      </c>
    </row>
    <row r="683" spans="1:12" x14ac:dyDescent="0.3">
      <c r="A683" s="9">
        <v>100</v>
      </c>
      <c r="B683" s="10" t="s">
        <v>29</v>
      </c>
      <c r="C683" s="5">
        <v>160</v>
      </c>
      <c r="D683" s="9">
        <v>6.8045999999999998</v>
      </c>
      <c r="E683" s="9">
        <v>0.26179999999999998</v>
      </c>
      <c r="F683" s="11">
        <v>3.8469999999999997E-2</v>
      </c>
      <c r="G683" s="12">
        <f t="shared" si="50"/>
        <v>2</v>
      </c>
      <c r="H683" s="1">
        <v>5.5199999999999997E-7</v>
      </c>
      <c r="I683" s="2">
        <f t="shared" si="51"/>
        <v>-6.2580609222708015</v>
      </c>
      <c r="J683" s="2">
        <f t="shared" si="52"/>
        <v>-4.2580609222708015</v>
      </c>
      <c r="K683" s="1">
        <f t="shared" si="53"/>
        <v>18115.942028985526</v>
      </c>
      <c r="L683" s="17">
        <f t="shared" si="54"/>
        <v>6.8096343807872675</v>
      </c>
    </row>
    <row r="684" spans="1:12" x14ac:dyDescent="0.3">
      <c r="A684" s="4">
        <v>0.1</v>
      </c>
      <c r="B684" s="5" t="s">
        <v>30</v>
      </c>
      <c r="C684" s="5">
        <v>170</v>
      </c>
      <c r="D684" s="4">
        <v>6.9141000000000004</v>
      </c>
      <c r="E684" s="4">
        <v>0.11839</v>
      </c>
      <c r="F684" s="6">
        <v>1.712E-2</v>
      </c>
      <c r="G684" s="7">
        <f t="shared" si="50"/>
        <v>-1</v>
      </c>
      <c r="H684" s="1">
        <v>9.5080000000000002E-8</v>
      </c>
      <c r="I684" s="2">
        <f t="shared" si="51"/>
        <v>-7.0219108269438575</v>
      </c>
      <c r="J684" s="2">
        <f t="shared" si="52"/>
        <v>-8.0219108269438575</v>
      </c>
      <c r="K684" s="1">
        <f t="shared" si="53"/>
        <v>105174589.81909993</v>
      </c>
      <c r="L684" s="17">
        <f t="shared" si="54"/>
        <v>6.9151135205504763</v>
      </c>
    </row>
    <row r="685" spans="1:12" hidden="1" x14ac:dyDescent="0.3">
      <c r="A685" s="4">
        <v>0.12589</v>
      </c>
      <c r="B685" s="5" t="s">
        <v>30</v>
      </c>
      <c r="C685" s="5">
        <v>170</v>
      </c>
      <c r="D685" s="4">
        <v>6.569</v>
      </c>
      <c r="E685" s="4">
        <v>-5.8270000000000002E-2</v>
      </c>
      <c r="F685" s="6">
        <v>-8.8999999999999999E-3</v>
      </c>
      <c r="G685" s="7">
        <f t="shared" si="50"/>
        <v>-0.90000876645531558</v>
      </c>
      <c r="H685" s="1">
        <v>9.5080000000000002E-8</v>
      </c>
      <c r="I685" s="2">
        <f t="shared" si="51"/>
        <v>-7.0219108269438575</v>
      </c>
      <c r="J685" s="2">
        <f t="shared" si="52"/>
        <v>-7.9219195933991733</v>
      </c>
      <c r="K685" s="1">
        <f t="shared" si="53"/>
        <v>83544832.646834567</v>
      </c>
      <c r="L685" s="17">
        <f t="shared" si="54"/>
        <v>6.5692584355389769</v>
      </c>
    </row>
    <row r="686" spans="1:12" hidden="1" x14ac:dyDescent="0.3">
      <c r="A686" s="4">
        <v>0.15848999999999999</v>
      </c>
      <c r="B686" s="5" t="s">
        <v>30</v>
      </c>
      <c r="C686" s="5">
        <v>170</v>
      </c>
      <c r="D686" s="4">
        <v>6.4983000000000004</v>
      </c>
      <c r="E686" s="4">
        <v>-3.9798E-2</v>
      </c>
      <c r="F686" s="6">
        <v>-6.1000000000000004E-3</v>
      </c>
      <c r="G686" s="7">
        <f t="shared" si="50"/>
        <v>-0.79999813459339819</v>
      </c>
      <c r="H686" s="1">
        <v>9.5080000000000002E-8</v>
      </c>
      <c r="I686" s="2">
        <f t="shared" si="51"/>
        <v>-7.0219108269438575</v>
      </c>
      <c r="J686" s="2">
        <f t="shared" si="52"/>
        <v>-7.8219089615372557</v>
      </c>
      <c r="K686" s="1">
        <f t="shared" si="53"/>
        <v>66360394.863461286</v>
      </c>
      <c r="L686" s="17">
        <f t="shared" si="54"/>
        <v>6.4984218677155763</v>
      </c>
    </row>
    <row r="687" spans="1:12" hidden="1" x14ac:dyDescent="0.3">
      <c r="A687" s="4">
        <v>0.19953000000000001</v>
      </c>
      <c r="B687" s="5" t="s">
        <v>30</v>
      </c>
      <c r="C687" s="5">
        <v>170</v>
      </c>
      <c r="D687" s="4">
        <v>6.5266999999999999</v>
      </c>
      <c r="E687" s="4">
        <v>-2.5048999999999998E-2</v>
      </c>
      <c r="F687" s="6">
        <v>-3.8E-3</v>
      </c>
      <c r="G687" s="7">
        <f t="shared" si="50"/>
        <v>-0.69999179744618689</v>
      </c>
      <c r="H687" s="1">
        <v>9.5080000000000002E-8</v>
      </c>
      <c r="I687" s="2">
        <f t="shared" si="51"/>
        <v>-7.0219108269438575</v>
      </c>
      <c r="J687" s="2">
        <f t="shared" si="52"/>
        <v>-7.7219026243900446</v>
      </c>
      <c r="K687" s="1">
        <f t="shared" si="53"/>
        <v>52711166.150002435</v>
      </c>
      <c r="L687" s="17">
        <f t="shared" si="54"/>
        <v>6.5267480679432541</v>
      </c>
    </row>
    <row r="688" spans="1:12" hidden="1" x14ac:dyDescent="0.3">
      <c r="A688" s="4">
        <v>0.25119000000000002</v>
      </c>
      <c r="B688" s="5" t="s">
        <v>30</v>
      </c>
      <c r="C688" s="5">
        <v>170</v>
      </c>
      <c r="D688" s="4">
        <v>6.5434999999999999</v>
      </c>
      <c r="E688" s="4">
        <v>-3.0945E-2</v>
      </c>
      <c r="F688" s="6">
        <v>-4.7000000000000002E-3</v>
      </c>
      <c r="G688" s="7">
        <f t="shared" si="50"/>
        <v>-0.59999765407204408</v>
      </c>
      <c r="H688" s="1">
        <v>9.5080000000000002E-8</v>
      </c>
      <c r="I688" s="2">
        <f t="shared" si="51"/>
        <v>-7.0219108269438575</v>
      </c>
      <c r="J688" s="2">
        <f t="shared" si="52"/>
        <v>-7.6219084810159012</v>
      </c>
      <c r="K688" s="1">
        <f t="shared" si="53"/>
        <v>41870532.194394544</v>
      </c>
      <c r="L688" s="17">
        <f t="shared" si="54"/>
        <v>6.5435731709078491</v>
      </c>
    </row>
    <row r="689" spans="1:12" hidden="1" x14ac:dyDescent="0.3">
      <c r="A689" s="4">
        <v>0.31623000000000001</v>
      </c>
      <c r="B689" s="5" t="s">
        <v>30</v>
      </c>
      <c r="C689" s="5">
        <v>170</v>
      </c>
      <c r="D689" s="4">
        <v>6.5256999999999996</v>
      </c>
      <c r="E689" s="4">
        <v>-5.4348E-2</v>
      </c>
      <c r="F689" s="6">
        <v>-8.3000000000000001E-3</v>
      </c>
      <c r="G689" s="7">
        <f t="shared" si="50"/>
        <v>-0.4999969319483068</v>
      </c>
      <c r="H689" s="1">
        <v>9.5080000000000002E-8</v>
      </c>
      <c r="I689" s="2">
        <f t="shared" si="51"/>
        <v>-7.0219108269438575</v>
      </c>
      <c r="J689" s="2">
        <f t="shared" si="52"/>
        <v>-7.5219077588921639</v>
      </c>
      <c r="K689" s="1">
        <f t="shared" si="53"/>
        <v>33258890.623628329</v>
      </c>
      <c r="L689" s="17">
        <f t="shared" si="54"/>
        <v>6.5259263093528714</v>
      </c>
    </row>
    <row r="690" spans="1:12" hidden="1" x14ac:dyDescent="0.3">
      <c r="A690" s="4">
        <v>0.39811000000000002</v>
      </c>
      <c r="B690" s="5" t="s">
        <v>30</v>
      </c>
      <c r="C690" s="5">
        <v>170</v>
      </c>
      <c r="D690" s="4">
        <v>6.5506000000000002</v>
      </c>
      <c r="E690" s="4">
        <v>-4.6736E-2</v>
      </c>
      <c r="F690" s="6">
        <v>-7.1000000000000004E-3</v>
      </c>
      <c r="G690" s="7">
        <f t="shared" si="50"/>
        <v>-0.39999691337225962</v>
      </c>
      <c r="H690" s="1">
        <v>9.5080000000000002E-8</v>
      </c>
      <c r="I690" s="2">
        <f t="shared" si="51"/>
        <v>-7.0219108269438575</v>
      </c>
      <c r="J690" s="2">
        <f t="shared" si="52"/>
        <v>-7.4219077403161169</v>
      </c>
      <c r="K690" s="1">
        <f t="shared" si="53"/>
        <v>26418474.747959029</v>
      </c>
      <c r="L690" s="17">
        <f t="shared" si="54"/>
        <v>6.5507667195295554</v>
      </c>
    </row>
    <row r="691" spans="1:12" hidden="1" x14ac:dyDescent="0.3">
      <c r="A691" s="4">
        <v>0.50119000000000002</v>
      </c>
      <c r="B691" s="5" t="s">
        <v>30</v>
      </c>
      <c r="C691" s="5">
        <v>170</v>
      </c>
      <c r="D691" s="4">
        <v>6.5627000000000004</v>
      </c>
      <c r="E691" s="4">
        <v>-7.4841000000000005E-2</v>
      </c>
      <c r="F691" s="6">
        <v>-1.14E-2</v>
      </c>
      <c r="G691" s="7">
        <f t="shared" si="50"/>
        <v>-0.29999760285774607</v>
      </c>
      <c r="H691" s="1">
        <v>9.5080000000000002E-8</v>
      </c>
      <c r="I691" s="2">
        <f t="shared" si="51"/>
        <v>-7.0219108269438575</v>
      </c>
      <c r="J691" s="2">
        <f t="shared" si="52"/>
        <v>-7.3219084298016037</v>
      </c>
      <c r="K691" s="1">
        <f t="shared" si="53"/>
        <v>20984973.726351287</v>
      </c>
      <c r="L691" s="17">
        <f t="shared" si="54"/>
        <v>6.5631267293326738</v>
      </c>
    </row>
    <row r="692" spans="1:12" hidden="1" x14ac:dyDescent="0.3">
      <c r="A692" s="4">
        <v>0.63095999999999997</v>
      </c>
      <c r="B692" s="5" t="s">
        <v>30</v>
      </c>
      <c r="C692" s="5">
        <v>170</v>
      </c>
      <c r="D692" s="4">
        <v>6.5495000000000001</v>
      </c>
      <c r="E692" s="4">
        <v>-5.6397000000000003E-2</v>
      </c>
      <c r="F692" s="6">
        <v>-8.6E-3</v>
      </c>
      <c r="G692" s="7">
        <f t="shared" si="50"/>
        <v>-0.19999817218203128</v>
      </c>
      <c r="H692" s="1">
        <v>9.5080000000000002E-8</v>
      </c>
      <c r="I692" s="2">
        <f t="shared" si="51"/>
        <v>-7.0219108269438575</v>
      </c>
      <c r="J692" s="2">
        <f t="shared" si="52"/>
        <v>-7.2219089991258887</v>
      </c>
      <c r="K692" s="1">
        <f t="shared" si="53"/>
        <v>16668978.98743185</v>
      </c>
      <c r="L692" s="17">
        <f t="shared" si="54"/>
        <v>6.5497428095772579</v>
      </c>
    </row>
    <row r="693" spans="1:12" hidden="1" x14ac:dyDescent="0.3">
      <c r="A693" s="4">
        <v>0.79432999999999998</v>
      </c>
      <c r="B693" s="5" t="s">
        <v>30</v>
      </c>
      <c r="C693" s="5">
        <v>170</v>
      </c>
      <c r="D693" s="4">
        <v>6.5869999999999997</v>
      </c>
      <c r="E693" s="4">
        <v>-5.7520000000000002E-2</v>
      </c>
      <c r="F693" s="6">
        <v>-8.6999999999999994E-3</v>
      </c>
      <c r="G693" s="7">
        <f t="shared" si="50"/>
        <v>-9.9999034846530471E-2</v>
      </c>
      <c r="H693" s="1">
        <v>9.5080000000000002E-8</v>
      </c>
      <c r="I693" s="2">
        <f t="shared" si="51"/>
        <v>-7.0219108269438575</v>
      </c>
      <c r="J693" s="2">
        <f t="shared" si="52"/>
        <v>-7.121909861790388</v>
      </c>
      <c r="K693" s="1">
        <f t="shared" si="53"/>
        <v>13240666.954426972</v>
      </c>
      <c r="L693" s="17">
        <f t="shared" si="54"/>
        <v>6.5872511376445937</v>
      </c>
    </row>
    <row r="694" spans="1:12" hidden="1" x14ac:dyDescent="0.3">
      <c r="A694" s="4">
        <v>1</v>
      </c>
      <c r="B694" s="5" t="s">
        <v>30</v>
      </c>
      <c r="C694" s="5">
        <v>170</v>
      </c>
      <c r="D694" s="4">
        <v>6.5835999999999997</v>
      </c>
      <c r="E694" s="4">
        <v>-6.0845999999999997E-2</v>
      </c>
      <c r="F694" s="6">
        <v>-9.1999999999999998E-3</v>
      </c>
      <c r="G694" s="7">
        <f t="shared" si="50"/>
        <v>0</v>
      </c>
      <c r="H694" s="1">
        <v>9.5080000000000002E-8</v>
      </c>
      <c r="I694" s="2">
        <f t="shared" si="51"/>
        <v>-7.0219108269438575</v>
      </c>
      <c r="J694" s="2">
        <f t="shared" si="52"/>
        <v>-7.0219108269438575</v>
      </c>
      <c r="K694" s="1">
        <f t="shared" si="53"/>
        <v>10517458.981909981</v>
      </c>
      <c r="L694" s="17">
        <f t="shared" si="54"/>
        <v>6.5838811650663924</v>
      </c>
    </row>
    <row r="695" spans="1:12" hidden="1" x14ac:dyDescent="0.3">
      <c r="A695" s="4">
        <v>1.2589300000000001</v>
      </c>
      <c r="B695" s="5" t="s">
        <v>30</v>
      </c>
      <c r="C695" s="5">
        <v>170</v>
      </c>
      <c r="D695" s="4">
        <v>6.5919999999999996</v>
      </c>
      <c r="E695" s="4">
        <v>-6.3228999999999994E-2</v>
      </c>
      <c r="F695" s="6">
        <v>-9.5999999999999992E-3</v>
      </c>
      <c r="G695" s="7">
        <f t="shared" si="50"/>
        <v>0.10000158280135207</v>
      </c>
      <c r="H695" s="1">
        <v>9.5080000000000002E-8</v>
      </c>
      <c r="I695" s="2">
        <f t="shared" si="51"/>
        <v>-7.0219108269438575</v>
      </c>
      <c r="J695" s="2">
        <f t="shared" si="52"/>
        <v>-6.9219092441425056</v>
      </c>
      <c r="K695" s="1">
        <f t="shared" si="53"/>
        <v>8354284.1793507123</v>
      </c>
      <c r="L695" s="17">
        <f t="shared" si="54"/>
        <v>6.5923032322884687</v>
      </c>
    </row>
    <row r="696" spans="1:12" hidden="1" x14ac:dyDescent="0.3">
      <c r="A696" s="4">
        <v>1.5848899999999999</v>
      </c>
      <c r="B696" s="5" t="s">
        <v>30</v>
      </c>
      <c r="C696" s="5">
        <v>170</v>
      </c>
      <c r="D696" s="4">
        <v>6.6081000000000003</v>
      </c>
      <c r="E696" s="4">
        <v>-7.2049000000000002E-2</v>
      </c>
      <c r="F696" s="6">
        <v>-1.09E-2</v>
      </c>
      <c r="G696" s="7">
        <f t="shared" si="50"/>
        <v>0.19999912519679666</v>
      </c>
      <c r="H696" s="1">
        <v>9.5080000000000002E-8</v>
      </c>
      <c r="I696" s="2">
        <f t="shared" si="51"/>
        <v>-7.0219108269438575</v>
      </c>
      <c r="J696" s="2">
        <f t="shared" si="52"/>
        <v>-6.8219117017470605</v>
      </c>
      <c r="K696" s="1">
        <f t="shared" si="53"/>
        <v>6636081.3570089964</v>
      </c>
      <c r="L696" s="17">
        <f t="shared" si="54"/>
        <v>6.6084927682793912</v>
      </c>
    </row>
    <row r="697" spans="1:12" hidden="1" x14ac:dyDescent="0.3">
      <c r="A697" s="4">
        <v>1.99526</v>
      </c>
      <c r="B697" s="5" t="s">
        <v>30</v>
      </c>
      <c r="C697" s="5">
        <v>170</v>
      </c>
      <c r="D697" s="4">
        <v>6.6322999999999999</v>
      </c>
      <c r="E697" s="4">
        <v>-7.3927000000000007E-2</v>
      </c>
      <c r="F697" s="6">
        <v>-1.11E-2</v>
      </c>
      <c r="G697" s="7">
        <f t="shared" si="50"/>
        <v>0.29999949611698379</v>
      </c>
      <c r="H697" s="1">
        <v>9.5080000000000002E-8</v>
      </c>
      <c r="I697" s="2">
        <f t="shared" si="51"/>
        <v>-7.0219108269438575</v>
      </c>
      <c r="J697" s="2">
        <f t="shared" si="52"/>
        <v>-6.7219113308268739</v>
      </c>
      <c r="K697" s="1">
        <f t="shared" si="53"/>
        <v>5271222.287777028</v>
      </c>
      <c r="L697" s="17">
        <f t="shared" si="54"/>
        <v>6.6327120012351655</v>
      </c>
    </row>
    <row r="698" spans="1:12" hidden="1" x14ac:dyDescent="0.3">
      <c r="A698" s="4">
        <v>2.5118900000000002</v>
      </c>
      <c r="B698" s="5" t="s">
        <v>30</v>
      </c>
      <c r="C698" s="5">
        <v>170</v>
      </c>
      <c r="D698" s="4">
        <v>6.6124999999999998</v>
      </c>
      <c r="E698" s="4">
        <v>-5.7376000000000003E-2</v>
      </c>
      <c r="F698" s="6">
        <v>-8.6999999999999994E-3</v>
      </c>
      <c r="G698" s="7">
        <f t="shared" si="50"/>
        <v>0.40000061697637995</v>
      </c>
      <c r="H698" s="1">
        <v>9.5080000000000002E-8</v>
      </c>
      <c r="I698" s="2">
        <f t="shared" si="51"/>
        <v>-7.0219108269438575</v>
      </c>
      <c r="J698" s="2">
        <f t="shared" si="52"/>
        <v>-6.6219102099674778</v>
      </c>
      <c r="K698" s="1">
        <f t="shared" si="53"/>
        <v>4187069.8883748841</v>
      </c>
      <c r="L698" s="17">
        <f t="shared" si="54"/>
        <v>6.6127489182166892</v>
      </c>
    </row>
    <row r="699" spans="1:12" hidden="1" x14ac:dyDescent="0.3">
      <c r="A699" s="4">
        <v>3.16228</v>
      </c>
      <c r="B699" s="5" t="s">
        <v>30</v>
      </c>
      <c r="C699" s="5">
        <v>170</v>
      </c>
      <c r="D699" s="4">
        <v>6.6306000000000003</v>
      </c>
      <c r="E699" s="4">
        <v>-6.7166000000000003E-2</v>
      </c>
      <c r="F699" s="6">
        <v>-1.01E-2</v>
      </c>
      <c r="G699" s="7">
        <f t="shared" si="50"/>
        <v>0.50000032134293526</v>
      </c>
      <c r="H699" s="1">
        <v>9.5080000000000002E-8</v>
      </c>
      <c r="I699" s="2">
        <f t="shared" si="51"/>
        <v>-7.0219108269438575</v>
      </c>
      <c r="J699" s="2">
        <f t="shared" si="52"/>
        <v>-6.5219105056009221</v>
      </c>
      <c r="K699" s="1">
        <f t="shared" si="53"/>
        <v>3325910.0971166315</v>
      </c>
      <c r="L699" s="17">
        <f t="shared" si="54"/>
        <v>6.6309401770454848</v>
      </c>
    </row>
    <row r="700" spans="1:12" hidden="1" x14ac:dyDescent="0.3">
      <c r="A700" s="4">
        <v>3.9810699999999999</v>
      </c>
      <c r="B700" s="5" t="s">
        <v>30</v>
      </c>
      <c r="C700" s="5">
        <v>170</v>
      </c>
      <c r="D700" s="4">
        <v>6.6288</v>
      </c>
      <c r="E700" s="4">
        <v>-6.1754000000000003E-2</v>
      </c>
      <c r="F700" s="6">
        <v>-9.2999999999999992E-3</v>
      </c>
      <c r="G700" s="7">
        <f t="shared" si="50"/>
        <v>0.59999981394342006</v>
      </c>
      <c r="H700" s="1">
        <v>9.5080000000000002E-8</v>
      </c>
      <c r="I700" s="2">
        <f t="shared" si="51"/>
        <v>-7.0219108269438575</v>
      </c>
      <c r="J700" s="2">
        <f t="shared" si="52"/>
        <v>-6.4219110130004378</v>
      </c>
      <c r="K700" s="1">
        <f t="shared" si="53"/>
        <v>2641867.382866919</v>
      </c>
      <c r="L700" s="17">
        <f t="shared" si="54"/>
        <v>6.6290876443531808</v>
      </c>
    </row>
    <row r="701" spans="1:12" hidden="1" x14ac:dyDescent="0.3">
      <c r="A701" s="4">
        <v>5.01187</v>
      </c>
      <c r="B701" s="5" t="s">
        <v>30</v>
      </c>
      <c r="C701" s="5">
        <v>170</v>
      </c>
      <c r="D701" s="4">
        <v>6.6466000000000003</v>
      </c>
      <c r="E701" s="4">
        <v>-4.0638000000000001E-2</v>
      </c>
      <c r="F701" s="6">
        <v>-6.1000000000000004E-3</v>
      </c>
      <c r="G701" s="7">
        <f t="shared" si="50"/>
        <v>0.69999979755458241</v>
      </c>
      <c r="H701" s="1">
        <v>9.5080000000000002E-8</v>
      </c>
      <c r="I701" s="2">
        <f t="shared" si="51"/>
        <v>-7.0219108269438575</v>
      </c>
      <c r="J701" s="2">
        <f t="shared" si="52"/>
        <v>-6.3219110293892751</v>
      </c>
      <c r="K701" s="1">
        <f t="shared" si="53"/>
        <v>2098509.9337991574</v>
      </c>
      <c r="L701" s="17">
        <f t="shared" si="54"/>
        <v>6.6467242313070276</v>
      </c>
    </row>
    <row r="702" spans="1:12" hidden="1" x14ac:dyDescent="0.3">
      <c r="A702" s="4">
        <v>6.3095800000000004</v>
      </c>
      <c r="B702" s="5" t="s">
        <v>30</v>
      </c>
      <c r="C702" s="5">
        <v>170</v>
      </c>
      <c r="D702" s="4">
        <v>6.6490999999999998</v>
      </c>
      <c r="E702" s="4">
        <v>-6.6498000000000002E-2</v>
      </c>
      <c r="F702" s="6">
        <v>-0.01</v>
      </c>
      <c r="G702" s="7">
        <f t="shared" si="50"/>
        <v>0.80000045120084495</v>
      </c>
      <c r="H702" s="1">
        <v>9.5080000000000002E-8</v>
      </c>
      <c r="I702" s="2">
        <f t="shared" si="51"/>
        <v>-7.0219108269438575</v>
      </c>
      <c r="J702" s="2">
        <f t="shared" si="52"/>
        <v>-6.221910375743013</v>
      </c>
      <c r="K702" s="1">
        <f t="shared" si="53"/>
        <v>1666903.1824479592</v>
      </c>
      <c r="L702" s="17">
        <f t="shared" si="54"/>
        <v>6.6494325166892247</v>
      </c>
    </row>
    <row r="703" spans="1:12" hidden="1" x14ac:dyDescent="0.3">
      <c r="A703" s="4">
        <v>7.9432900000000002</v>
      </c>
      <c r="B703" s="5" t="s">
        <v>30</v>
      </c>
      <c r="C703" s="5">
        <v>170</v>
      </c>
      <c r="D703" s="4">
        <v>6.6593</v>
      </c>
      <c r="E703" s="4">
        <v>-4.8640000000000003E-2</v>
      </c>
      <c r="F703" s="6">
        <v>-7.3000000000000001E-3</v>
      </c>
      <c r="G703" s="7">
        <f t="shared" si="50"/>
        <v>0.90000041840998102</v>
      </c>
      <c r="H703" s="1">
        <v>9.5080000000000002E-8</v>
      </c>
      <c r="I703" s="2">
        <f t="shared" si="51"/>
        <v>-7.0219108269438575</v>
      </c>
      <c r="J703" s="2">
        <f t="shared" si="52"/>
        <v>-6.1219104085338767</v>
      </c>
      <c r="K703" s="1">
        <f t="shared" si="53"/>
        <v>1324068.3623423041</v>
      </c>
      <c r="L703" s="17">
        <f t="shared" si="54"/>
        <v>6.6594776326375626</v>
      </c>
    </row>
    <row r="704" spans="1:12" hidden="1" x14ac:dyDescent="0.3">
      <c r="A704" s="4">
        <v>10</v>
      </c>
      <c r="B704" s="5" t="s">
        <v>30</v>
      </c>
      <c r="C704" s="5">
        <v>170</v>
      </c>
      <c r="D704" s="4">
        <v>6.6773999999999996</v>
      </c>
      <c r="E704" s="4">
        <v>-5.4136999999999998E-2</v>
      </c>
      <c r="F704" s="6">
        <v>-8.0999999999999996E-3</v>
      </c>
      <c r="G704" s="7">
        <f t="shared" si="50"/>
        <v>1</v>
      </c>
      <c r="H704" s="1">
        <v>9.5080000000000002E-8</v>
      </c>
      <c r="I704" s="2">
        <f t="shared" si="51"/>
        <v>-7.0219108269438575</v>
      </c>
      <c r="J704" s="2">
        <f t="shared" si="52"/>
        <v>-6.0219108269438575</v>
      </c>
      <c r="K704" s="1">
        <f t="shared" si="53"/>
        <v>1051745.8981909989</v>
      </c>
      <c r="L704" s="17">
        <f t="shared" si="54"/>
        <v>6.6776194541744438</v>
      </c>
    </row>
    <row r="705" spans="1:12" hidden="1" x14ac:dyDescent="0.3">
      <c r="A705" s="4">
        <v>12.5893</v>
      </c>
      <c r="B705" s="5" t="s">
        <v>30</v>
      </c>
      <c r="C705" s="5">
        <v>170</v>
      </c>
      <c r="D705" s="4">
        <v>6.6744000000000003</v>
      </c>
      <c r="E705" s="4">
        <v>-4.7413999999999998E-2</v>
      </c>
      <c r="F705" s="6">
        <v>-7.1000000000000004E-3</v>
      </c>
      <c r="G705" s="7">
        <f t="shared" si="50"/>
        <v>1.1000015828013521</v>
      </c>
      <c r="H705" s="1">
        <v>9.5080000000000002E-8</v>
      </c>
      <c r="I705" s="2">
        <f t="shared" si="51"/>
        <v>-7.0219108269438575</v>
      </c>
      <c r="J705" s="2">
        <f t="shared" si="52"/>
        <v>-5.9219092441425056</v>
      </c>
      <c r="K705" s="1">
        <f t="shared" si="53"/>
        <v>835428.41793507186</v>
      </c>
      <c r="L705" s="17">
        <f t="shared" si="54"/>
        <v>6.6745684090730544</v>
      </c>
    </row>
    <row r="706" spans="1:12" hidden="1" x14ac:dyDescent="0.3">
      <c r="A706" s="4">
        <v>15.8489</v>
      </c>
      <c r="B706" s="5" t="s">
        <v>30</v>
      </c>
      <c r="C706" s="5">
        <v>170</v>
      </c>
      <c r="D706" s="4">
        <v>6.6688999999999998</v>
      </c>
      <c r="E706" s="4">
        <v>-4.1383000000000003E-2</v>
      </c>
      <c r="F706" s="6">
        <v>-6.1999999999999998E-3</v>
      </c>
      <c r="G706" s="7">
        <f t="shared" si="50"/>
        <v>1.1999991251967967</v>
      </c>
      <c r="H706" s="1">
        <v>9.5080000000000002E-8</v>
      </c>
      <c r="I706" s="2">
        <f t="shared" si="51"/>
        <v>-7.0219108269438575</v>
      </c>
      <c r="J706" s="2">
        <f t="shared" si="52"/>
        <v>-5.8219117017470605</v>
      </c>
      <c r="K706" s="1">
        <f t="shared" si="53"/>
        <v>663608.13570089894</v>
      </c>
      <c r="L706" s="17">
        <f t="shared" si="54"/>
        <v>6.6690283972021742</v>
      </c>
    </row>
    <row r="707" spans="1:12" hidden="1" x14ac:dyDescent="0.3">
      <c r="A707" s="4">
        <v>19.9526</v>
      </c>
      <c r="B707" s="5" t="s">
        <v>30</v>
      </c>
      <c r="C707" s="5">
        <v>170</v>
      </c>
      <c r="D707" s="4">
        <v>6.6978</v>
      </c>
      <c r="E707" s="4">
        <v>-2.0582E-2</v>
      </c>
      <c r="F707" s="6">
        <v>-3.0999999999999999E-3</v>
      </c>
      <c r="G707" s="7">
        <f t="shared" ref="G707:G770" si="55">LOG(A707)</f>
        <v>1.2999994961169838</v>
      </c>
      <c r="H707" s="1">
        <v>9.5080000000000002E-8</v>
      </c>
      <c r="I707" s="2">
        <f t="shared" ref="I707:I770" si="56">LOG(H707)</f>
        <v>-7.0219108269438575</v>
      </c>
      <c r="J707" s="2">
        <f t="shared" ref="J707:J770" si="57">G707+I707</f>
        <v>-5.7219113308268739</v>
      </c>
      <c r="K707" s="1">
        <f t="shared" ref="K707:K770" si="58">1/10^J707</f>
        <v>527122.22877770313</v>
      </c>
      <c r="L707" s="17">
        <f t="shared" ref="L707:L770" si="59">SQRT(D707^2+E707^2)</f>
        <v>6.6978316236468647</v>
      </c>
    </row>
    <row r="708" spans="1:12" hidden="1" x14ac:dyDescent="0.3">
      <c r="A708" s="4">
        <v>25.1189</v>
      </c>
      <c r="B708" s="5" t="s">
        <v>30</v>
      </c>
      <c r="C708" s="5">
        <v>170</v>
      </c>
      <c r="D708" s="4">
        <v>6.7049000000000003</v>
      </c>
      <c r="E708" s="4">
        <v>-1.1428000000000001E-2</v>
      </c>
      <c r="F708" s="6">
        <v>-1.6999999999999999E-3</v>
      </c>
      <c r="G708" s="7">
        <f t="shared" si="55"/>
        <v>1.4000006169763799</v>
      </c>
      <c r="H708" s="1">
        <v>9.5080000000000002E-8</v>
      </c>
      <c r="I708" s="2">
        <f t="shared" si="56"/>
        <v>-7.0219108269438575</v>
      </c>
      <c r="J708" s="2">
        <f t="shared" si="57"/>
        <v>-5.6219102099674778</v>
      </c>
      <c r="K708" s="1">
        <f t="shared" si="58"/>
        <v>418706.98883748864</v>
      </c>
      <c r="L708" s="17">
        <f t="shared" si="59"/>
        <v>6.7049097390780741</v>
      </c>
    </row>
    <row r="709" spans="1:12" hidden="1" x14ac:dyDescent="0.3">
      <c r="A709" s="4">
        <v>31.622800000000002</v>
      </c>
      <c r="B709" s="5" t="s">
        <v>30</v>
      </c>
      <c r="C709" s="5">
        <v>170</v>
      </c>
      <c r="D709" s="4">
        <v>6.7001999999999997</v>
      </c>
      <c r="E709" s="4">
        <v>-9.808299999999999E-3</v>
      </c>
      <c r="F709" s="6">
        <v>-1.5E-3</v>
      </c>
      <c r="G709" s="7">
        <f t="shared" si="55"/>
        <v>1.5000003213429354</v>
      </c>
      <c r="H709" s="1">
        <v>9.5080000000000002E-8</v>
      </c>
      <c r="I709" s="2">
        <f t="shared" si="56"/>
        <v>-7.0219108269438575</v>
      </c>
      <c r="J709" s="2">
        <f t="shared" si="57"/>
        <v>-5.5219105056009221</v>
      </c>
      <c r="K709" s="1">
        <f t="shared" si="58"/>
        <v>332591.00971166336</v>
      </c>
      <c r="L709" s="17">
        <f t="shared" si="59"/>
        <v>6.7002071790914712</v>
      </c>
    </row>
    <row r="710" spans="1:12" hidden="1" x14ac:dyDescent="0.3">
      <c r="A710" s="4">
        <v>39.810699999999997</v>
      </c>
      <c r="B710" s="5" t="s">
        <v>30</v>
      </c>
      <c r="C710" s="5">
        <v>170</v>
      </c>
      <c r="D710" s="4">
        <v>6.7123999999999997</v>
      </c>
      <c r="E710" s="4">
        <v>-3.6711999999999999E-3</v>
      </c>
      <c r="F710" s="8">
        <v>-5.4690000000000001E-4</v>
      </c>
      <c r="G710" s="7">
        <f t="shared" si="55"/>
        <v>1.5999998139434199</v>
      </c>
      <c r="H710" s="1">
        <v>9.5080000000000002E-8</v>
      </c>
      <c r="I710" s="2">
        <f t="shared" si="56"/>
        <v>-7.0219108269438575</v>
      </c>
      <c r="J710" s="2">
        <f t="shared" si="57"/>
        <v>-5.4219110130004378</v>
      </c>
      <c r="K710" s="1">
        <f t="shared" si="58"/>
        <v>264186.7382866916</v>
      </c>
      <c r="L710" s="17">
        <f t="shared" si="59"/>
        <v>6.7124010039410962</v>
      </c>
    </row>
    <row r="711" spans="1:12" x14ac:dyDescent="0.3">
      <c r="A711" s="4">
        <v>50.1188</v>
      </c>
      <c r="B711" s="5" t="s">
        <v>30</v>
      </c>
      <c r="C711" s="5">
        <v>170</v>
      </c>
      <c r="D711" s="4">
        <v>6.7346000000000004</v>
      </c>
      <c r="E711" s="4">
        <v>2.2296099999999999E-2</v>
      </c>
      <c r="F711" s="6">
        <v>3.31E-3</v>
      </c>
      <c r="G711" s="7">
        <f t="shared" si="55"/>
        <v>1.7000006640855352</v>
      </c>
      <c r="H711" s="1">
        <v>9.5080000000000002E-8</v>
      </c>
      <c r="I711" s="2">
        <f t="shared" si="56"/>
        <v>-7.0219108269438575</v>
      </c>
      <c r="J711" s="2">
        <f t="shared" si="57"/>
        <v>-5.3219101628583223</v>
      </c>
      <c r="K711" s="1">
        <f t="shared" si="58"/>
        <v>209850.57467277738</v>
      </c>
      <c r="L711" s="17">
        <f t="shared" si="59"/>
        <v>6.7346369075158918</v>
      </c>
    </row>
    <row r="712" spans="1:12" x14ac:dyDescent="0.3">
      <c r="A712" s="4">
        <v>63.095799999999997</v>
      </c>
      <c r="B712" s="5" t="s">
        <v>30</v>
      </c>
      <c r="C712" s="5">
        <v>170</v>
      </c>
      <c r="D712" s="4">
        <v>6.7146999999999997</v>
      </c>
      <c r="E712" s="4">
        <v>3.95463E-2</v>
      </c>
      <c r="F712" s="6">
        <v>5.8900000000000003E-3</v>
      </c>
      <c r="G712" s="7">
        <f t="shared" si="55"/>
        <v>1.800000451200845</v>
      </c>
      <c r="H712" s="1">
        <v>9.5080000000000002E-8</v>
      </c>
      <c r="I712" s="2">
        <f t="shared" si="56"/>
        <v>-7.0219108269438575</v>
      </c>
      <c r="J712" s="2">
        <f t="shared" si="57"/>
        <v>-5.221910375743013</v>
      </c>
      <c r="K712" s="1">
        <f t="shared" si="58"/>
        <v>166690.31824479601</v>
      </c>
      <c r="L712" s="17">
        <f t="shared" si="59"/>
        <v>6.7148164531760424</v>
      </c>
    </row>
    <row r="713" spans="1:12" x14ac:dyDescent="0.3">
      <c r="A713" s="4">
        <v>79.432900000000004</v>
      </c>
      <c r="B713" s="5" t="s">
        <v>30</v>
      </c>
      <c r="C713" s="5">
        <v>170</v>
      </c>
      <c r="D713" s="4">
        <v>6.7183000000000002</v>
      </c>
      <c r="E713" s="4">
        <v>5.2770300000000006E-2</v>
      </c>
      <c r="F713" s="6">
        <v>7.8499999999999993E-3</v>
      </c>
      <c r="G713" s="7">
        <f t="shared" si="55"/>
        <v>1.900000418409981</v>
      </c>
      <c r="H713" s="1">
        <v>9.5080000000000002E-8</v>
      </c>
      <c r="I713" s="2">
        <f t="shared" si="56"/>
        <v>-7.0219108269438575</v>
      </c>
      <c r="J713" s="2">
        <f t="shared" si="57"/>
        <v>-5.1219104085338767</v>
      </c>
      <c r="K713" s="1">
        <f t="shared" si="58"/>
        <v>132406.83623423026</v>
      </c>
      <c r="L713" s="17">
        <f t="shared" si="59"/>
        <v>6.7185072445121383</v>
      </c>
    </row>
    <row r="714" spans="1:12" x14ac:dyDescent="0.3">
      <c r="A714" s="4">
        <v>100</v>
      </c>
      <c r="B714" s="5" t="s">
        <v>30</v>
      </c>
      <c r="C714" s="5">
        <v>170</v>
      </c>
      <c r="D714" s="4">
        <v>6.7285000000000004</v>
      </c>
      <c r="E714" s="4">
        <v>0.10424</v>
      </c>
      <c r="F714" s="6">
        <v>1.549E-2</v>
      </c>
      <c r="G714" s="7">
        <f t="shared" si="55"/>
        <v>2</v>
      </c>
      <c r="H714" s="1">
        <v>9.5080000000000002E-8</v>
      </c>
      <c r="I714" s="2">
        <f t="shared" si="56"/>
        <v>-7.0219108269438575</v>
      </c>
      <c r="J714" s="2">
        <f t="shared" si="57"/>
        <v>-5.0219108269438575</v>
      </c>
      <c r="K714" s="1">
        <f t="shared" si="58"/>
        <v>105174.58981909977</v>
      </c>
      <c r="L714" s="17">
        <f t="shared" si="59"/>
        <v>6.7293074106924262</v>
      </c>
    </row>
    <row r="715" spans="1:12" x14ac:dyDescent="0.3">
      <c r="A715" s="9">
        <v>0.1</v>
      </c>
      <c r="B715" s="10" t="s">
        <v>31</v>
      </c>
      <c r="C715" s="5">
        <v>180</v>
      </c>
      <c r="D715" s="9">
        <v>6.7068000000000003</v>
      </c>
      <c r="E715" s="9">
        <v>8.2629799999999996E-3</v>
      </c>
      <c r="F715" s="11">
        <v>1.23E-3</v>
      </c>
      <c r="G715" s="12">
        <f t="shared" si="55"/>
        <v>-1</v>
      </c>
      <c r="H715" s="1">
        <v>1.8399999999999999E-8</v>
      </c>
      <c r="I715" s="2">
        <f t="shared" si="56"/>
        <v>-7.7351821769904632</v>
      </c>
      <c r="J715" s="2">
        <f t="shared" si="57"/>
        <v>-8.7351821769904632</v>
      </c>
      <c r="K715" s="1">
        <f t="shared" si="58"/>
        <v>543478260.86956489</v>
      </c>
      <c r="L715" s="17">
        <f t="shared" si="59"/>
        <v>6.7068050901184311</v>
      </c>
    </row>
    <row r="716" spans="1:12" x14ac:dyDescent="0.3">
      <c r="A716" s="9">
        <v>0.12589</v>
      </c>
      <c r="B716" s="10" t="s">
        <v>31</v>
      </c>
      <c r="C716" s="5">
        <v>180</v>
      </c>
      <c r="D716" s="9">
        <v>6.5979000000000001</v>
      </c>
      <c r="E716" s="9">
        <v>6.9372600000000006E-3</v>
      </c>
      <c r="F716" s="11">
        <v>1.0499999999999999E-3</v>
      </c>
      <c r="G716" s="12">
        <f t="shared" si="55"/>
        <v>-0.90000876645531558</v>
      </c>
      <c r="H716" s="1">
        <v>1.8399999999999999E-8</v>
      </c>
      <c r="I716" s="2">
        <f t="shared" si="56"/>
        <v>-7.7351821769904632</v>
      </c>
      <c r="J716" s="2">
        <f t="shared" si="57"/>
        <v>-8.6351909434457781</v>
      </c>
      <c r="K716" s="1">
        <f t="shared" si="58"/>
        <v>431708841.74244612</v>
      </c>
      <c r="L716" s="17">
        <f t="shared" si="59"/>
        <v>6.5979036470364063</v>
      </c>
    </row>
    <row r="717" spans="1:12" hidden="1" x14ac:dyDescent="0.3">
      <c r="A717" s="9">
        <v>0.15848999999999999</v>
      </c>
      <c r="B717" s="10" t="s">
        <v>31</v>
      </c>
      <c r="C717" s="5">
        <v>180</v>
      </c>
      <c r="D717" s="9">
        <v>6.5810000000000004</v>
      </c>
      <c r="E717" s="9">
        <v>-3.7029000000000001E-4</v>
      </c>
      <c r="F717" s="13">
        <v>-5.6270000000000002E-5</v>
      </c>
      <c r="G717" s="12">
        <f t="shared" si="55"/>
        <v>-0.79999813459339819</v>
      </c>
      <c r="H717" s="1">
        <v>1.8399999999999999E-8</v>
      </c>
      <c r="I717" s="2">
        <f t="shared" si="56"/>
        <v>-7.7351821769904632</v>
      </c>
      <c r="J717" s="2">
        <f t="shared" si="57"/>
        <v>-8.5351803115838614</v>
      </c>
      <c r="K717" s="1">
        <f t="shared" si="58"/>
        <v>342910127.37053829</v>
      </c>
      <c r="L717" s="17">
        <f t="shared" si="59"/>
        <v>6.5810000104174655</v>
      </c>
    </row>
    <row r="718" spans="1:12" hidden="1" x14ac:dyDescent="0.3">
      <c r="A718" s="9">
        <v>0.19953000000000001</v>
      </c>
      <c r="B718" s="10" t="s">
        <v>31</v>
      </c>
      <c r="C718" s="5">
        <v>180</v>
      </c>
      <c r="D718" s="9">
        <v>6.5921000000000003</v>
      </c>
      <c r="E718" s="9">
        <v>-3.3438000000000002E-2</v>
      </c>
      <c r="F718" s="11">
        <v>-5.1000000000000004E-3</v>
      </c>
      <c r="G718" s="12">
        <f t="shared" si="55"/>
        <v>-0.69999179744618689</v>
      </c>
      <c r="H718" s="1">
        <v>1.8399999999999999E-8</v>
      </c>
      <c r="I718" s="2">
        <f t="shared" si="56"/>
        <v>-7.7351821769904632</v>
      </c>
      <c r="J718" s="2">
        <f t="shared" si="57"/>
        <v>-8.4351739744366494</v>
      </c>
      <c r="K718" s="1">
        <f t="shared" si="58"/>
        <v>272379221.60555536</v>
      </c>
      <c r="L718" s="17">
        <f t="shared" si="59"/>
        <v>6.5921848054984018</v>
      </c>
    </row>
    <row r="719" spans="1:12" hidden="1" x14ac:dyDescent="0.3">
      <c r="A719" s="9">
        <v>0.25119000000000002</v>
      </c>
      <c r="B719" s="10" t="s">
        <v>31</v>
      </c>
      <c r="C719" s="5">
        <v>180</v>
      </c>
      <c r="D719" s="9">
        <v>6.5697000000000001</v>
      </c>
      <c r="E719" s="9">
        <v>-2.6141999999999999E-2</v>
      </c>
      <c r="F719" s="11">
        <v>-4.0000000000000001E-3</v>
      </c>
      <c r="G719" s="12">
        <f t="shared" si="55"/>
        <v>-0.59999765407204408</v>
      </c>
      <c r="H719" s="1">
        <v>1.8399999999999999E-8</v>
      </c>
      <c r="I719" s="2">
        <f t="shared" si="56"/>
        <v>-7.7351821769904632</v>
      </c>
      <c r="J719" s="2">
        <f t="shared" si="57"/>
        <v>-8.3351798310625078</v>
      </c>
      <c r="K719" s="1">
        <f t="shared" si="58"/>
        <v>216361423.96973103</v>
      </c>
      <c r="L719" s="17">
        <f t="shared" si="59"/>
        <v>6.5697520116183989</v>
      </c>
    </row>
    <row r="720" spans="1:12" hidden="1" x14ac:dyDescent="0.3">
      <c r="A720" s="9">
        <v>0.31623000000000001</v>
      </c>
      <c r="B720" s="10" t="s">
        <v>31</v>
      </c>
      <c r="C720" s="5">
        <v>180</v>
      </c>
      <c r="D720" s="9">
        <v>6.633</v>
      </c>
      <c r="E720" s="9">
        <v>-1.9535E-2</v>
      </c>
      <c r="F720" s="11">
        <v>-2.8999999999999998E-3</v>
      </c>
      <c r="G720" s="12">
        <f t="shared" si="55"/>
        <v>-0.4999969319483068</v>
      </c>
      <c r="H720" s="1">
        <v>1.8399999999999999E-8</v>
      </c>
      <c r="I720" s="2">
        <f t="shared" si="56"/>
        <v>-7.7351821769904632</v>
      </c>
      <c r="J720" s="2">
        <f t="shared" si="57"/>
        <v>-8.2351791089387696</v>
      </c>
      <c r="K720" s="1">
        <f t="shared" si="58"/>
        <v>171861702.20079201</v>
      </c>
      <c r="L720" s="17">
        <f t="shared" si="59"/>
        <v>6.6330287664252596</v>
      </c>
    </row>
    <row r="721" spans="1:12" hidden="1" x14ac:dyDescent="0.3">
      <c r="A721" s="9">
        <v>0.39811000000000002</v>
      </c>
      <c r="B721" s="10" t="s">
        <v>31</v>
      </c>
      <c r="C721" s="5">
        <v>180</v>
      </c>
      <c r="D721" s="9">
        <v>6.6147</v>
      </c>
      <c r="E721" s="9">
        <v>-5.3395999999999999E-2</v>
      </c>
      <c r="F721" s="11">
        <v>-8.0999999999999996E-3</v>
      </c>
      <c r="G721" s="12">
        <f t="shared" si="55"/>
        <v>-0.39999691337225962</v>
      </c>
      <c r="H721" s="1">
        <v>1.8399999999999999E-8</v>
      </c>
      <c r="I721" s="2">
        <f t="shared" si="56"/>
        <v>-7.7351821769904632</v>
      </c>
      <c r="J721" s="2">
        <f t="shared" si="57"/>
        <v>-8.1351790903627226</v>
      </c>
      <c r="K721" s="1">
        <f t="shared" si="58"/>
        <v>136514596.68673623</v>
      </c>
      <c r="L721" s="17">
        <f t="shared" si="59"/>
        <v>6.614915511389091</v>
      </c>
    </row>
    <row r="722" spans="1:12" hidden="1" x14ac:dyDescent="0.3">
      <c r="A722" s="9">
        <v>0.50119000000000002</v>
      </c>
      <c r="B722" s="10" t="s">
        <v>31</v>
      </c>
      <c r="C722" s="5">
        <v>180</v>
      </c>
      <c r="D722" s="9">
        <v>6.6440000000000001</v>
      </c>
      <c r="E722" s="9">
        <v>-5.1243999999999998E-2</v>
      </c>
      <c r="F722" s="11">
        <v>-7.7000000000000002E-3</v>
      </c>
      <c r="G722" s="12">
        <f t="shared" si="55"/>
        <v>-0.29999760285774607</v>
      </c>
      <c r="H722" s="1">
        <v>1.8399999999999999E-8</v>
      </c>
      <c r="I722" s="2">
        <f t="shared" si="56"/>
        <v>-7.7351821769904632</v>
      </c>
      <c r="J722" s="2">
        <f t="shared" si="57"/>
        <v>-8.0351797798482085</v>
      </c>
      <c r="K722" s="1">
        <f t="shared" si="58"/>
        <v>108437570.75551496</v>
      </c>
      <c r="L722" s="17">
        <f t="shared" si="59"/>
        <v>6.6441976150274158</v>
      </c>
    </row>
    <row r="723" spans="1:12" hidden="1" x14ac:dyDescent="0.3">
      <c r="A723" s="9">
        <v>0.63095999999999997</v>
      </c>
      <c r="B723" s="10" t="s">
        <v>31</v>
      </c>
      <c r="C723" s="5">
        <v>180</v>
      </c>
      <c r="D723" s="9">
        <v>6.6384999999999996</v>
      </c>
      <c r="E723" s="9">
        <v>-4.6537000000000002E-2</v>
      </c>
      <c r="F723" s="11">
        <v>-7.0000000000000001E-3</v>
      </c>
      <c r="G723" s="12">
        <f t="shared" si="55"/>
        <v>-0.19999817218203128</v>
      </c>
      <c r="H723" s="1">
        <v>1.8399999999999999E-8</v>
      </c>
      <c r="I723" s="2">
        <f t="shared" si="56"/>
        <v>-7.7351821769904632</v>
      </c>
      <c r="J723" s="2">
        <f t="shared" si="57"/>
        <v>-7.9351803491724944</v>
      </c>
      <c r="K723" s="1">
        <f t="shared" si="58"/>
        <v>86135137.072011739</v>
      </c>
      <c r="L723" s="17">
        <f t="shared" si="59"/>
        <v>6.638663114089236</v>
      </c>
    </row>
    <row r="724" spans="1:12" hidden="1" x14ac:dyDescent="0.3">
      <c r="A724" s="9">
        <v>0.79432999999999998</v>
      </c>
      <c r="B724" s="10" t="s">
        <v>31</v>
      </c>
      <c r="C724" s="5">
        <v>180</v>
      </c>
      <c r="D724" s="9">
        <v>6.6647999999999996</v>
      </c>
      <c r="E724" s="9">
        <v>-5.0062000000000002E-2</v>
      </c>
      <c r="F724" s="11">
        <v>-7.4999999999999997E-3</v>
      </c>
      <c r="G724" s="12">
        <f t="shared" si="55"/>
        <v>-9.9999034846530471E-2</v>
      </c>
      <c r="H724" s="1">
        <v>1.8399999999999999E-8</v>
      </c>
      <c r="I724" s="2">
        <f t="shared" si="56"/>
        <v>-7.7351821769904632</v>
      </c>
      <c r="J724" s="2">
        <f t="shared" si="57"/>
        <v>-7.8351812118369937</v>
      </c>
      <c r="K724" s="1">
        <f t="shared" si="58"/>
        <v>68419707.284071609</v>
      </c>
      <c r="L724" s="17">
        <f t="shared" si="59"/>
        <v>6.6649880152813479</v>
      </c>
    </row>
    <row r="725" spans="1:12" hidden="1" x14ac:dyDescent="0.3">
      <c r="A725" s="9">
        <v>1</v>
      </c>
      <c r="B725" s="10" t="s">
        <v>31</v>
      </c>
      <c r="C725" s="5">
        <v>180</v>
      </c>
      <c r="D725" s="9">
        <v>6.6608000000000001</v>
      </c>
      <c r="E725" s="9">
        <v>-4.8480000000000002E-2</v>
      </c>
      <c r="F725" s="11">
        <v>-7.3000000000000001E-3</v>
      </c>
      <c r="G725" s="12">
        <f t="shared" si="55"/>
        <v>0</v>
      </c>
      <c r="H725" s="1">
        <v>1.8399999999999999E-8</v>
      </c>
      <c r="I725" s="2">
        <f t="shared" si="56"/>
        <v>-7.7351821769904632</v>
      </c>
      <c r="J725" s="2">
        <f t="shared" si="57"/>
        <v>-7.7351821769904632</v>
      </c>
      <c r="K725" s="1">
        <f t="shared" si="58"/>
        <v>54347826.086956628</v>
      </c>
      <c r="L725" s="17">
        <f t="shared" si="59"/>
        <v>6.660976426200591</v>
      </c>
    </row>
    <row r="726" spans="1:12" hidden="1" x14ac:dyDescent="0.3">
      <c r="A726" s="9">
        <v>1.2589300000000001</v>
      </c>
      <c r="B726" s="10" t="s">
        <v>31</v>
      </c>
      <c r="C726" s="5">
        <v>180</v>
      </c>
      <c r="D726" s="9">
        <v>6.6723999999999997</v>
      </c>
      <c r="E726" s="9">
        <v>-5.4538000000000003E-2</v>
      </c>
      <c r="F726" s="11">
        <v>-8.2000000000000007E-3</v>
      </c>
      <c r="G726" s="12">
        <f t="shared" si="55"/>
        <v>0.10000158280135207</v>
      </c>
      <c r="H726" s="1">
        <v>1.8399999999999999E-8</v>
      </c>
      <c r="I726" s="2">
        <f t="shared" si="56"/>
        <v>-7.7351821769904632</v>
      </c>
      <c r="J726" s="2">
        <f t="shared" si="57"/>
        <v>-7.6351805941891113</v>
      </c>
      <c r="K726" s="1">
        <f t="shared" si="58"/>
        <v>43169855.422427446</v>
      </c>
      <c r="L726" s="17">
        <f t="shared" si="59"/>
        <v>6.6726228841021724</v>
      </c>
    </row>
    <row r="727" spans="1:12" hidden="1" x14ac:dyDescent="0.3">
      <c r="A727" s="9">
        <v>1.5848899999999999</v>
      </c>
      <c r="B727" s="10" t="s">
        <v>31</v>
      </c>
      <c r="C727" s="5">
        <v>180</v>
      </c>
      <c r="D727" s="9">
        <v>6.6879</v>
      </c>
      <c r="E727" s="9">
        <v>-6.0477000000000003E-2</v>
      </c>
      <c r="F727" s="11">
        <v>-8.9999999999999993E-3</v>
      </c>
      <c r="G727" s="12">
        <f t="shared" si="55"/>
        <v>0.19999912519679666</v>
      </c>
      <c r="H727" s="1">
        <v>1.8399999999999999E-8</v>
      </c>
      <c r="I727" s="2">
        <f t="shared" si="56"/>
        <v>-7.7351821769904632</v>
      </c>
      <c r="J727" s="2">
        <f t="shared" si="57"/>
        <v>-7.5351830517936662</v>
      </c>
      <c r="K727" s="1">
        <f t="shared" si="58"/>
        <v>34291229.099152982</v>
      </c>
      <c r="L727" s="17">
        <f t="shared" si="59"/>
        <v>6.6881734335713068</v>
      </c>
    </row>
    <row r="728" spans="1:12" hidden="1" x14ac:dyDescent="0.3">
      <c r="A728" s="9">
        <v>1.99526</v>
      </c>
      <c r="B728" s="10" t="s">
        <v>31</v>
      </c>
      <c r="C728" s="5">
        <v>180</v>
      </c>
      <c r="D728" s="9">
        <v>6.6867999999999999</v>
      </c>
      <c r="E728" s="9">
        <v>-4.7065000000000003E-2</v>
      </c>
      <c r="F728" s="11">
        <v>-7.0000000000000001E-3</v>
      </c>
      <c r="G728" s="12">
        <f t="shared" si="55"/>
        <v>0.29999949611698379</v>
      </c>
      <c r="H728" s="1">
        <v>1.8399999999999999E-8</v>
      </c>
      <c r="I728" s="2">
        <f t="shared" si="56"/>
        <v>-7.7351821769904632</v>
      </c>
      <c r="J728" s="2">
        <f t="shared" si="57"/>
        <v>-7.4351826808734796</v>
      </c>
      <c r="K728" s="1">
        <f t="shared" si="58"/>
        <v>27238468.213143393</v>
      </c>
      <c r="L728" s="17">
        <f t="shared" si="59"/>
        <v>6.6869656313028107</v>
      </c>
    </row>
    <row r="729" spans="1:12" hidden="1" x14ac:dyDescent="0.3">
      <c r="A729" s="9">
        <v>2.5118900000000002</v>
      </c>
      <c r="B729" s="10" t="s">
        <v>31</v>
      </c>
      <c r="C729" s="5">
        <v>180</v>
      </c>
      <c r="D729" s="9">
        <v>6.6970999999999998</v>
      </c>
      <c r="E729" s="9">
        <v>-8.3862999999999993E-2</v>
      </c>
      <c r="F729" s="11">
        <v>-1.2500000000000001E-2</v>
      </c>
      <c r="G729" s="12">
        <f t="shared" si="55"/>
        <v>0.40000061697637995</v>
      </c>
      <c r="H729" s="1">
        <v>1.8399999999999999E-8</v>
      </c>
      <c r="I729" s="2">
        <f t="shared" si="56"/>
        <v>-7.7351821769904632</v>
      </c>
      <c r="J729" s="2">
        <f t="shared" si="57"/>
        <v>-7.3351815600140835</v>
      </c>
      <c r="K729" s="1">
        <f t="shared" si="58"/>
        <v>21636228.531885017</v>
      </c>
      <c r="L729" s="17">
        <f t="shared" si="59"/>
        <v>6.6976250576431191</v>
      </c>
    </row>
    <row r="730" spans="1:12" hidden="1" x14ac:dyDescent="0.3">
      <c r="A730" s="9">
        <v>3.16228</v>
      </c>
      <c r="B730" s="10" t="s">
        <v>31</v>
      </c>
      <c r="C730" s="5">
        <v>180</v>
      </c>
      <c r="D730" s="9">
        <v>6.6977000000000002</v>
      </c>
      <c r="E730" s="9">
        <v>-8.8250999999999996E-2</v>
      </c>
      <c r="F730" s="11">
        <v>-1.32E-2</v>
      </c>
      <c r="G730" s="12">
        <f t="shared" si="55"/>
        <v>0.50000032134293526</v>
      </c>
      <c r="H730" s="1">
        <v>1.8399999999999999E-8</v>
      </c>
      <c r="I730" s="2">
        <f t="shared" si="56"/>
        <v>-7.7351821769904632</v>
      </c>
      <c r="J730" s="2">
        <f t="shared" si="57"/>
        <v>-7.2351818556475278</v>
      </c>
      <c r="K730" s="1">
        <f t="shared" si="58"/>
        <v>17186278.914883133</v>
      </c>
      <c r="L730" s="17">
        <f t="shared" si="59"/>
        <v>6.6982813862214696</v>
      </c>
    </row>
    <row r="731" spans="1:12" hidden="1" x14ac:dyDescent="0.3">
      <c r="A731" s="9">
        <v>3.9810699999999999</v>
      </c>
      <c r="B731" s="10" t="s">
        <v>31</v>
      </c>
      <c r="C731" s="5">
        <v>180</v>
      </c>
      <c r="D731" s="9">
        <v>6.6821999999999999</v>
      </c>
      <c r="E731" s="9">
        <v>-4.7841000000000002E-2</v>
      </c>
      <c r="F731" s="11">
        <v>-7.1999999999999998E-3</v>
      </c>
      <c r="G731" s="12">
        <f t="shared" si="55"/>
        <v>0.59999981394342006</v>
      </c>
      <c r="H731" s="1">
        <v>1.8399999999999999E-8</v>
      </c>
      <c r="I731" s="2">
        <f t="shared" si="56"/>
        <v>-7.7351821769904632</v>
      </c>
      <c r="J731" s="2">
        <f t="shared" si="57"/>
        <v>-7.1351823630470435</v>
      </c>
      <c r="K731" s="1">
        <f t="shared" si="58"/>
        <v>13651562.541466655</v>
      </c>
      <c r="L731" s="17">
        <f t="shared" si="59"/>
        <v>6.6823712558702537</v>
      </c>
    </row>
    <row r="732" spans="1:12" hidden="1" x14ac:dyDescent="0.3">
      <c r="A732" s="9">
        <v>5.01187</v>
      </c>
      <c r="B732" s="10" t="s">
        <v>31</v>
      </c>
      <c r="C732" s="5">
        <v>180</v>
      </c>
      <c r="D732" s="9">
        <v>6.7149999999999999</v>
      </c>
      <c r="E732" s="9">
        <v>-5.9088000000000002E-2</v>
      </c>
      <c r="F732" s="11">
        <v>-8.8000000000000005E-3</v>
      </c>
      <c r="G732" s="12">
        <f t="shared" si="55"/>
        <v>0.69999979755458241</v>
      </c>
      <c r="H732" s="1">
        <v>1.8399999999999999E-8</v>
      </c>
      <c r="I732" s="2">
        <f t="shared" si="56"/>
        <v>-7.7351821769904632</v>
      </c>
      <c r="J732" s="2">
        <f t="shared" si="57"/>
        <v>-7.0351823794358808</v>
      </c>
      <c r="K732" s="1">
        <f t="shared" si="58"/>
        <v>10843821.984001288</v>
      </c>
      <c r="L732" s="17">
        <f t="shared" si="59"/>
        <v>6.7152599645690563</v>
      </c>
    </row>
    <row r="733" spans="1:12" hidden="1" x14ac:dyDescent="0.3">
      <c r="A733" s="9">
        <v>6.3095800000000004</v>
      </c>
      <c r="B733" s="10" t="s">
        <v>31</v>
      </c>
      <c r="C733" s="5">
        <v>180</v>
      </c>
      <c r="D733" s="9">
        <v>6.7081999999999997</v>
      </c>
      <c r="E733" s="9">
        <v>-6.3326999999999994E-2</v>
      </c>
      <c r="F733" s="11">
        <v>-9.4000000000000004E-3</v>
      </c>
      <c r="G733" s="12">
        <f t="shared" si="55"/>
        <v>0.80000045120084495</v>
      </c>
      <c r="H733" s="1">
        <v>1.8399999999999999E-8</v>
      </c>
      <c r="I733" s="2">
        <f t="shared" si="56"/>
        <v>-7.7351821769904632</v>
      </c>
      <c r="J733" s="2">
        <f t="shared" si="57"/>
        <v>-6.9351817257896187</v>
      </c>
      <c r="K733" s="1">
        <f t="shared" si="58"/>
        <v>8613541.0101712942</v>
      </c>
      <c r="L733" s="17">
        <f t="shared" si="59"/>
        <v>6.7084989042951326</v>
      </c>
    </row>
    <row r="734" spans="1:12" hidden="1" x14ac:dyDescent="0.3">
      <c r="A734" s="9">
        <v>7.9432900000000002</v>
      </c>
      <c r="B734" s="10" t="s">
        <v>31</v>
      </c>
      <c r="C734" s="5">
        <v>180</v>
      </c>
      <c r="D734" s="9">
        <v>6.7138999999999998</v>
      </c>
      <c r="E734" s="9">
        <v>-6.0215999999999999E-2</v>
      </c>
      <c r="F734" s="11">
        <v>-8.9999999999999993E-3</v>
      </c>
      <c r="G734" s="12">
        <f t="shared" si="55"/>
        <v>0.90000041840998102</v>
      </c>
      <c r="H734" s="1">
        <v>1.8399999999999999E-8</v>
      </c>
      <c r="I734" s="2">
        <f t="shared" si="56"/>
        <v>-7.7351821769904632</v>
      </c>
      <c r="J734" s="2">
        <f t="shared" si="57"/>
        <v>-6.8351817585804824</v>
      </c>
      <c r="K734" s="1">
        <f t="shared" si="58"/>
        <v>6841979.3419296714</v>
      </c>
      <c r="L734" s="17">
        <f t="shared" si="59"/>
        <v>6.7141700288759445</v>
      </c>
    </row>
    <row r="735" spans="1:12" hidden="1" x14ac:dyDescent="0.3">
      <c r="A735" s="9">
        <v>10</v>
      </c>
      <c r="B735" s="10" t="s">
        <v>31</v>
      </c>
      <c r="C735" s="5">
        <v>180</v>
      </c>
      <c r="D735" s="9">
        <v>6.7476000000000003</v>
      </c>
      <c r="E735" s="9">
        <v>-6.4019999999999994E-2</v>
      </c>
      <c r="F735" s="11">
        <v>-9.4999999999999998E-3</v>
      </c>
      <c r="G735" s="12">
        <f t="shared" si="55"/>
        <v>1</v>
      </c>
      <c r="H735" s="1">
        <v>1.8399999999999999E-8</v>
      </c>
      <c r="I735" s="2">
        <f t="shared" si="56"/>
        <v>-7.7351821769904632</v>
      </c>
      <c r="J735" s="2">
        <f t="shared" si="57"/>
        <v>-6.7351821769904632</v>
      </c>
      <c r="K735" s="1">
        <f t="shared" si="58"/>
        <v>5434782.608695657</v>
      </c>
      <c r="L735" s="17">
        <f t="shared" si="59"/>
        <v>6.7479036982162102</v>
      </c>
    </row>
    <row r="736" spans="1:12" hidden="1" x14ac:dyDescent="0.3">
      <c r="A736" s="9">
        <v>12.5893</v>
      </c>
      <c r="B736" s="10" t="s">
        <v>31</v>
      </c>
      <c r="C736" s="5">
        <v>180</v>
      </c>
      <c r="D736" s="9">
        <v>6.7457000000000003</v>
      </c>
      <c r="E736" s="9">
        <v>-4.6713999999999999E-2</v>
      </c>
      <c r="F736" s="11">
        <v>-6.8999999999999999E-3</v>
      </c>
      <c r="G736" s="12">
        <f t="shared" si="55"/>
        <v>1.1000015828013521</v>
      </c>
      <c r="H736" s="1">
        <v>1.8399999999999999E-8</v>
      </c>
      <c r="I736" s="2">
        <f t="shared" si="56"/>
        <v>-7.7351821769904632</v>
      </c>
      <c r="J736" s="2">
        <f t="shared" si="57"/>
        <v>-6.6351805941891113</v>
      </c>
      <c r="K736" s="1">
        <f t="shared" si="58"/>
        <v>4316985.5422427468</v>
      </c>
      <c r="L736" s="17">
        <f t="shared" si="59"/>
        <v>6.7458617453810898</v>
      </c>
    </row>
    <row r="737" spans="1:12" hidden="1" x14ac:dyDescent="0.3">
      <c r="A737" s="9">
        <v>15.8489</v>
      </c>
      <c r="B737" s="10" t="s">
        <v>31</v>
      </c>
      <c r="C737" s="5">
        <v>180</v>
      </c>
      <c r="D737" s="9">
        <v>6.7480000000000002</v>
      </c>
      <c r="E737" s="9">
        <v>-7.9978999999999995E-2</v>
      </c>
      <c r="F737" s="11">
        <v>-1.1900000000000001E-2</v>
      </c>
      <c r="G737" s="12">
        <f t="shared" si="55"/>
        <v>1.1999991251967967</v>
      </c>
      <c r="H737" s="1">
        <v>1.8399999999999999E-8</v>
      </c>
      <c r="I737" s="2">
        <f t="shared" si="56"/>
        <v>-7.7351821769904632</v>
      </c>
      <c r="J737" s="2">
        <f t="shared" si="57"/>
        <v>-6.5351830517936662</v>
      </c>
      <c r="K737" s="1">
        <f t="shared" si="58"/>
        <v>3429122.909915294</v>
      </c>
      <c r="L737" s="17">
        <f t="shared" si="59"/>
        <v>6.7484739490081012</v>
      </c>
    </row>
    <row r="738" spans="1:12" hidden="1" x14ac:dyDescent="0.3">
      <c r="A738" s="9">
        <v>19.9526</v>
      </c>
      <c r="B738" s="10" t="s">
        <v>31</v>
      </c>
      <c r="C738" s="5">
        <v>180</v>
      </c>
      <c r="D738" s="9">
        <v>6.7458999999999998</v>
      </c>
      <c r="E738" s="9">
        <v>-5.2782999999999997E-2</v>
      </c>
      <c r="F738" s="11">
        <v>-7.7999999999999996E-3</v>
      </c>
      <c r="G738" s="12">
        <f t="shared" si="55"/>
        <v>1.2999994961169838</v>
      </c>
      <c r="H738" s="1">
        <v>1.8399999999999999E-8</v>
      </c>
      <c r="I738" s="2">
        <f t="shared" si="56"/>
        <v>-7.7351821769904632</v>
      </c>
      <c r="J738" s="2">
        <f t="shared" si="57"/>
        <v>-6.4351826808734796</v>
      </c>
      <c r="K738" s="1">
        <f t="shared" si="58"/>
        <v>2723846.8213143414</v>
      </c>
      <c r="L738" s="17">
        <f t="shared" si="59"/>
        <v>6.7461064959789212</v>
      </c>
    </row>
    <row r="739" spans="1:12" hidden="1" x14ac:dyDescent="0.3">
      <c r="A739" s="9">
        <v>25.1189</v>
      </c>
      <c r="B739" s="10" t="s">
        <v>31</v>
      </c>
      <c r="C739" s="5">
        <v>180</v>
      </c>
      <c r="D739" s="9">
        <v>6.7571000000000003</v>
      </c>
      <c r="E739" s="9">
        <v>-3.2403000000000001E-2</v>
      </c>
      <c r="F739" s="11">
        <v>-4.7999999999999996E-3</v>
      </c>
      <c r="G739" s="12">
        <f t="shared" si="55"/>
        <v>1.4000006169763799</v>
      </c>
      <c r="H739" s="1">
        <v>1.8399999999999999E-8</v>
      </c>
      <c r="I739" s="2">
        <f t="shared" si="56"/>
        <v>-7.7351821769904632</v>
      </c>
      <c r="J739" s="2">
        <f t="shared" si="57"/>
        <v>-6.3351815600140835</v>
      </c>
      <c r="K739" s="1">
        <f t="shared" si="58"/>
        <v>2163622.8531884989</v>
      </c>
      <c r="L739" s="17">
        <f t="shared" si="59"/>
        <v>6.7571776922328306</v>
      </c>
    </row>
    <row r="740" spans="1:12" hidden="1" x14ac:dyDescent="0.3">
      <c r="A740" s="9">
        <v>31.622800000000002</v>
      </c>
      <c r="B740" s="10" t="s">
        <v>31</v>
      </c>
      <c r="C740" s="5">
        <v>180</v>
      </c>
      <c r="D740" s="9">
        <v>6.7652000000000001</v>
      </c>
      <c r="E740" s="9">
        <v>-3.4153000000000003E-2</v>
      </c>
      <c r="F740" s="11">
        <v>-5.0000000000000001E-3</v>
      </c>
      <c r="G740" s="12">
        <f t="shared" si="55"/>
        <v>1.5000003213429354</v>
      </c>
      <c r="H740" s="1">
        <v>1.8399999999999999E-8</v>
      </c>
      <c r="I740" s="2">
        <f t="shared" si="56"/>
        <v>-7.7351821769904632</v>
      </c>
      <c r="J740" s="2">
        <f t="shared" si="57"/>
        <v>-6.2351818556475278</v>
      </c>
      <c r="K740" s="1">
        <f t="shared" si="58"/>
        <v>1718627.8914883111</v>
      </c>
      <c r="L740" s="17">
        <f t="shared" si="59"/>
        <v>6.7652862073536104</v>
      </c>
    </row>
    <row r="741" spans="1:12" hidden="1" x14ac:dyDescent="0.3">
      <c r="A741" s="9">
        <v>39.810699999999997</v>
      </c>
      <c r="B741" s="10" t="s">
        <v>31</v>
      </c>
      <c r="C741" s="5">
        <v>180</v>
      </c>
      <c r="D741" s="9">
        <v>6.7550999999999997</v>
      </c>
      <c r="E741" s="9">
        <v>-2.4930999999999998E-2</v>
      </c>
      <c r="F741" s="11">
        <v>-3.7000000000000002E-3</v>
      </c>
      <c r="G741" s="12">
        <f t="shared" si="55"/>
        <v>1.5999998139434199</v>
      </c>
      <c r="H741" s="1">
        <v>1.8399999999999999E-8</v>
      </c>
      <c r="I741" s="2">
        <f t="shared" si="56"/>
        <v>-7.7351821769904632</v>
      </c>
      <c r="J741" s="2">
        <f t="shared" si="57"/>
        <v>-6.1351823630470435</v>
      </c>
      <c r="K741" s="1">
        <f t="shared" si="58"/>
        <v>1365156.2541466639</v>
      </c>
      <c r="L741" s="17">
        <f t="shared" si="59"/>
        <v>6.7551460061764024</v>
      </c>
    </row>
    <row r="742" spans="1:12" hidden="1" x14ac:dyDescent="0.3">
      <c r="A742" s="9">
        <v>50.1188</v>
      </c>
      <c r="B742" s="10" t="s">
        <v>31</v>
      </c>
      <c r="C742" s="5">
        <v>180</v>
      </c>
      <c r="D742" s="9">
        <v>6.7557999999999998</v>
      </c>
      <c r="E742" s="9">
        <v>-9.1894999999999998E-3</v>
      </c>
      <c r="F742" s="11">
        <v>-1.4E-3</v>
      </c>
      <c r="G742" s="12">
        <f t="shared" si="55"/>
        <v>1.7000006640855352</v>
      </c>
      <c r="H742" s="1">
        <v>1.8399999999999999E-8</v>
      </c>
      <c r="I742" s="2">
        <f t="shared" si="56"/>
        <v>-7.7351821769904632</v>
      </c>
      <c r="J742" s="2">
        <f t="shared" si="57"/>
        <v>-6.035181512904928</v>
      </c>
      <c r="K742" s="1">
        <f t="shared" si="58"/>
        <v>1084380.0347765011</v>
      </c>
      <c r="L742" s="17">
        <f t="shared" si="59"/>
        <v>6.7558062499534612</v>
      </c>
    </row>
    <row r="743" spans="1:12" hidden="1" x14ac:dyDescent="0.3">
      <c r="A743" s="9">
        <v>63.095799999999997</v>
      </c>
      <c r="B743" s="10" t="s">
        <v>31</v>
      </c>
      <c r="C743" s="5">
        <v>180</v>
      </c>
      <c r="D743" s="9">
        <v>6.7687999999999997</v>
      </c>
      <c r="E743" s="9">
        <v>-1.4200999999999999E-3</v>
      </c>
      <c r="F743" s="13">
        <v>-2.098E-4</v>
      </c>
      <c r="G743" s="12">
        <f t="shared" si="55"/>
        <v>1.800000451200845</v>
      </c>
      <c r="H743" s="1">
        <v>1.8399999999999999E-8</v>
      </c>
      <c r="I743" s="2">
        <f t="shared" si="56"/>
        <v>-7.7351821769904632</v>
      </c>
      <c r="J743" s="2">
        <f t="shared" si="57"/>
        <v>-5.9351817257896187</v>
      </c>
      <c r="K743" s="1">
        <f t="shared" si="58"/>
        <v>861354.10101712996</v>
      </c>
      <c r="L743" s="17">
        <f t="shared" si="59"/>
        <v>6.7688001489690919</v>
      </c>
    </row>
    <row r="744" spans="1:12" x14ac:dyDescent="0.3">
      <c r="A744" s="9">
        <v>79.432900000000004</v>
      </c>
      <c r="B744" s="10" t="s">
        <v>31</v>
      </c>
      <c r="C744" s="5">
        <v>180</v>
      </c>
      <c r="D744" s="9">
        <v>6.7571000000000003</v>
      </c>
      <c r="E744" s="9">
        <v>1.60812E-2</v>
      </c>
      <c r="F744" s="11">
        <v>2.3800000000000002E-3</v>
      </c>
      <c r="G744" s="12">
        <f t="shared" si="55"/>
        <v>1.900000418409981</v>
      </c>
      <c r="H744" s="1">
        <v>1.8399999999999999E-8</v>
      </c>
      <c r="I744" s="2">
        <f t="shared" si="56"/>
        <v>-7.7351821769904632</v>
      </c>
      <c r="J744" s="2">
        <f t="shared" si="57"/>
        <v>-5.8351817585804824</v>
      </c>
      <c r="K744" s="1">
        <f t="shared" si="58"/>
        <v>684197.9341929676</v>
      </c>
      <c r="L744" s="17">
        <f t="shared" si="59"/>
        <v>6.7571191357703206</v>
      </c>
    </row>
    <row r="745" spans="1:12" x14ac:dyDescent="0.3">
      <c r="A745" s="9">
        <v>100</v>
      </c>
      <c r="B745" s="10" t="s">
        <v>31</v>
      </c>
      <c r="C745" s="5">
        <v>180</v>
      </c>
      <c r="D745" s="9">
        <v>6.7599</v>
      </c>
      <c r="E745" s="9">
        <v>3.6575000000000003E-2</v>
      </c>
      <c r="F745" s="11">
        <v>5.4099999999999999E-3</v>
      </c>
      <c r="G745" s="12">
        <f t="shared" si="55"/>
        <v>2</v>
      </c>
      <c r="H745" s="1">
        <v>1.8399999999999999E-8</v>
      </c>
      <c r="I745" s="2">
        <f t="shared" si="56"/>
        <v>-7.7351821769904632</v>
      </c>
      <c r="J745" s="2">
        <f t="shared" si="57"/>
        <v>-5.7351821769904632</v>
      </c>
      <c r="K745" s="1">
        <f t="shared" si="58"/>
        <v>543478.26086956507</v>
      </c>
      <c r="L745" s="17">
        <f t="shared" si="59"/>
        <v>6.7599989453124181</v>
      </c>
    </row>
    <row r="746" spans="1:12" x14ac:dyDescent="0.3">
      <c r="A746" s="4">
        <v>0.1</v>
      </c>
      <c r="B746" s="5" t="s">
        <v>32</v>
      </c>
      <c r="C746" s="5">
        <v>190</v>
      </c>
      <c r="D746" s="4">
        <v>6.6505999999999998</v>
      </c>
      <c r="E746" s="4">
        <v>9.7954600000000003E-2</v>
      </c>
      <c r="F746" s="6">
        <v>1.473E-2</v>
      </c>
      <c r="G746" s="7">
        <f t="shared" si="55"/>
        <v>-1</v>
      </c>
      <c r="H746" s="1">
        <v>1.8400000000000001E-9</v>
      </c>
      <c r="I746" s="2">
        <f t="shared" si="56"/>
        <v>-8.7351821769904632</v>
      </c>
      <c r="J746" s="2">
        <f t="shared" si="57"/>
        <v>-9.7351821769904632</v>
      </c>
      <c r="K746" s="1">
        <f t="shared" si="58"/>
        <v>5434782608.6956549</v>
      </c>
      <c r="L746" s="17">
        <f t="shared" si="59"/>
        <v>6.6513213321610891</v>
      </c>
    </row>
    <row r="747" spans="1:12" x14ac:dyDescent="0.3">
      <c r="A747" s="4">
        <v>0.12589</v>
      </c>
      <c r="B747" s="5" t="s">
        <v>32</v>
      </c>
      <c r="C747" s="5">
        <v>190</v>
      </c>
      <c r="D747" s="4">
        <v>6.6163999999999996</v>
      </c>
      <c r="E747" s="4">
        <v>1.94816E-3</v>
      </c>
      <c r="F747" s="8">
        <v>2.9444999999999997E-4</v>
      </c>
      <c r="G747" s="7">
        <f t="shared" si="55"/>
        <v>-0.90000876645531558</v>
      </c>
      <c r="H747" s="1">
        <v>1.8400000000000001E-9</v>
      </c>
      <c r="I747" s="2">
        <f t="shared" si="56"/>
        <v>-8.7351821769904632</v>
      </c>
      <c r="J747" s="2">
        <f t="shared" si="57"/>
        <v>-9.6351909434457781</v>
      </c>
      <c r="K747" s="1">
        <f t="shared" si="58"/>
        <v>4317088417.4244509</v>
      </c>
      <c r="L747" s="17">
        <f t="shared" si="59"/>
        <v>6.6164002868121106</v>
      </c>
    </row>
    <row r="748" spans="1:12" x14ac:dyDescent="0.3">
      <c r="A748" s="4">
        <v>0.15848999999999999</v>
      </c>
      <c r="B748" s="5" t="s">
        <v>32</v>
      </c>
      <c r="C748" s="5">
        <v>190</v>
      </c>
      <c r="D748" s="4">
        <v>6.5940000000000003</v>
      </c>
      <c r="E748" s="4">
        <v>4.3737199999999997E-2</v>
      </c>
      <c r="F748" s="6">
        <v>6.6299999999999996E-3</v>
      </c>
      <c r="G748" s="7">
        <f t="shared" si="55"/>
        <v>-0.79999813459339819</v>
      </c>
      <c r="H748" s="1">
        <v>1.8400000000000001E-9</v>
      </c>
      <c r="I748" s="2">
        <f t="shared" si="56"/>
        <v>-8.7351821769904632</v>
      </c>
      <c r="J748" s="2">
        <f t="shared" si="57"/>
        <v>-9.5351803115838614</v>
      </c>
      <c r="K748" s="1">
        <f t="shared" si="58"/>
        <v>3429101273.7053871</v>
      </c>
      <c r="L748" s="17">
        <f t="shared" si="59"/>
        <v>6.5941450501686605</v>
      </c>
    </row>
    <row r="749" spans="1:12" x14ac:dyDescent="0.3">
      <c r="A749" s="4">
        <v>0.19953000000000001</v>
      </c>
      <c r="B749" s="5" t="s">
        <v>32</v>
      </c>
      <c r="C749" s="5">
        <v>190</v>
      </c>
      <c r="D749" s="4">
        <v>6.6302000000000003</v>
      </c>
      <c r="E749" s="4">
        <v>3.9399900000000002E-2</v>
      </c>
      <c r="F749" s="6">
        <v>5.94E-3</v>
      </c>
      <c r="G749" s="7">
        <f t="shared" si="55"/>
        <v>-0.69999179744618689</v>
      </c>
      <c r="H749" s="1">
        <v>1.8400000000000001E-9</v>
      </c>
      <c r="I749" s="2">
        <f t="shared" si="56"/>
        <v>-8.7351821769904632</v>
      </c>
      <c r="J749" s="2">
        <f t="shared" si="57"/>
        <v>-9.4351739744366494</v>
      </c>
      <c r="K749" s="1">
        <f t="shared" si="58"/>
        <v>2723792216.0555563</v>
      </c>
      <c r="L749" s="17">
        <f t="shared" si="59"/>
        <v>6.6303170657307193</v>
      </c>
    </row>
    <row r="750" spans="1:12" x14ac:dyDescent="0.3">
      <c r="A750" s="4">
        <v>0.25119000000000002</v>
      </c>
      <c r="B750" s="5" t="s">
        <v>32</v>
      </c>
      <c r="C750" s="5">
        <v>190</v>
      </c>
      <c r="D750" s="4">
        <v>6.6384999999999996</v>
      </c>
      <c r="E750" s="4">
        <v>2.5938799999999998E-2</v>
      </c>
      <c r="F750" s="6">
        <v>3.9100000000000003E-3</v>
      </c>
      <c r="G750" s="7">
        <f t="shared" si="55"/>
        <v>-0.59999765407204408</v>
      </c>
      <c r="H750" s="1">
        <v>1.8400000000000001E-9</v>
      </c>
      <c r="I750" s="2">
        <f t="shared" si="56"/>
        <v>-8.7351821769904632</v>
      </c>
      <c r="J750" s="2">
        <f t="shared" si="57"/>
        <v>-9.3351798310625078</v>
      </c>
      <c r="K750" s="1">
        <f t="shared" si="58"/>
        <v>2163614239.6973052</v>
      </c>
      <c r="L750" s="17">
        <f t="shared" si="59"/>
        <v>6.6385506755123469</v>
      </c>
    </row>
    <row r="751" spans="1:12" x14ac:dyDescent="0.3">
      <c r="A751" s="4">
        <v>0.31623000000000001</v>
      </c>
      <c r="B751" s="5" t="s">
        <v>32</v>
      </c>
      <c r="C751" s="5">
        <v>190</v>
      </c>
      <c r="D751" s="4">
        <v>6.6406000000000001</v>
      </c>
      <c r="E751" s="4">
        <v>1.2479799999999999E-2</v>
      </c>
      <c r="F751" s="6">
        <v>1.8799999999999999E-3</v>
      </c>
      <c r="G751" s="7">
        <f t="shared" si="55"/>
        <v>-0.4999969319483068</v>
      </c>
      <c r="H751" s="1">
        <v>1.8400000000000001E-9</v>
      </c>
      <c r="I751" s="2">
        <f t="shared" si="56"/>
        <v>-8.7351821769904632</v>
      </c>
      <c r="J751" s="2">
        <f t="shared" si="57"/>
        <v>-9.2351791089387696</v>
      </c>
      <c r="K751" s="1">
        <f t="shared" si="58"/>
        <v>1718617022.0079222</v>
      </c>
      <c r="L751" s="17">
        <f t="shared" si="59"/>
        <v>6.6406117267468696</v>
      </c>
    </row>
    <row r="752" spans="1:12" hidden="1" x14ac:dyDescent="0.3">
      <c r="A752" s="4">
        <v>0.39811000000000002</v>
      </c>
      <c r="B752" s="5" t="s">
        <v>32</v>
      </c>
      <c r="C752" s="5">
        <v>190</v>
      </c>
      <c r="D752" s="4">
        <v>6.6649000000000003</v>
      </c>
      <c r="E752" s="4">
        <v>-2.2502000000000001E-2</v>
      </c>
      <c r="F752" s="6">
        <v>-3.3999999999999998E-3</v>
      </c>
      <c r="G752" s="7">
        <f t="shared" si="55"/>
        <v>-0.39999691337225962</v>
      </c>
      <c r="H752" s="1">
        <v>1.8400000000000001E-9</v>
      </c>
      <c r="I752" s="2">
        <f t="shared" si="56"/>
        <v>-8.7351821769904632</v>
      </c>
      <c r="J752" s="2">
        <f t="shared" si="57"/>
        <v>-9.1351790903627226</v>
      </c>
      <c r="K752" s="1">
        <f t="shared" si="58"/>
        <v>1365145966.8673639</v>
      </c>
      <c r="L752" s="17">
        <f t="shared" si="59"/>
        <v>6.6649379854582298</v>
      </c>
    </row>
    <row r="753" spans="1:12" hidden="1" x14ac:dyDescent="0.3">
      <c r="A753" s="4">
        <v>0.50119000000000002</v>
      </c>
      <c r="B753" s="5" t="s">
        <v>32</v>
      </c>
      <c r="C753" s="5">
        <v>190</v>
      </c>
      <c r="D753" s="4">
        <v>6.6977000000000002</v>
      </c>
      <c r="E753" s="4">
        <v>-2.0101000000000001E-2</v>
      </c>
      <c r="F753" s="6">
        <v>-3.0000000000000001E-3</v>
      </c>
      <c r="G753" s="7">
        <f t="shared" si="55"/>
        <v>-0.29999760285774607</v>
      </c>
      <c r="H753" s="1">
        <v>1.8400000000000001E-9</v>
      </c>
      <c r="I753" s="2">
        <f t="shared" si="56"/>
        <v>-8.7351821769904632</v>
      </c>
      <c r="J753" s="2">
        <f t="shared" si="57"/>
        <v>-9.0351797798482085</v>
      </c>
      <c r="K753" s="1">
        <f t="shared" si="58"/>
        <v>1084375707.5551469</v>
      </c>
      <c r="L753" s="17">
        <f t="shared" si="59"/>
        <v>6.6977301632867388</v>
      </c>
    </row>
    <row r="754" spans="1:12" hidden="1" x14ac:dyDescent="0.3">
      <c r="A754" s="4">
        <v>0.63095999999999997</v>
      </c>
      <c r="B754" s="5" t="s">
        <v>32</v>
      </c>
      <c r="C754" s="5">
        <v>190</v>
      </c>
      <c r="D754" s="4">
        <v>6.7172000000000001</v>
      </c>
      <c r="E754" s="4">
        <v>-3.2959000000000002E-2</v>
      </c>
      <c r="F754" s="6">
        <v>-4.8999999999999998E-3</v>
      </c>
      <c r="G754" s="7">
        <f t="shared" si="55"/>
        <v>-0.19999817218203128</v>
      </c>
      <c r="H754" s="1">
        <v>1.8400000000000001E-9</v>
      </c>
      <c r="I754" s="2">
        <f t="shared" si="56"/>
        <v>-8.7351821769904632</v>
      </c>
      <c r="J754" s="2">
        <f t="shared" si="57"/>
        <v>-8.9351803491724944</v>
      </c>
      <c r="K754" s="1">
        <f t="shared" si="58"/>
        <v>861351370.72011828</v>
      </c>
      <c r="L754" s="17">
        <f t="shared" si="59"/>
        <v>6.7172808587761912</v>
      </c>
    </row>
    <row r="755" spans="1:12" hidden="1" x14ac:dyDescent="0.3">
      <c r="A755" s="4">
        <v>0.79432999999999998</v>
      </c>
      <c r="B755" s="5" t="s">
        <v>32</v>
      </c>
      <c r="C755" s="5">
        <v>190</v>
      </c>
      <c r="D755" s="4">
        <v>6.7252999999999998</v>
      </c>
      <c r="E755" s="4">
        <v>-4.9964000000000001E-2</v>
      </c>
      <c r="F755" s="6">
        <v>-7.4000000000000003E-3</v>
      </c>
      <c r="G755" s="7">
        <f t="shared" si="55"/>
        <v>-9.9999034846530471E-2</v>
      </c>
      <c r="H755" s="1">
        <v>1.8400000000000001E-9</v>
      </c>
      <c r="I755" s="2">
        <f t="shared" si="56"/>
        <v>-8.7351821769904632</v>
      </c>
      <c r="J755" s="2">
        <f t="shared" si="57"/>
        <v>-8.8351812118369928</v>
      </c>
      <c r="K755" s="1">
        <f t="shared" si="58"/>
        <v>684197072.84071434</v>
      </c>
      <c r="L755" s="17">
        <f t="shared" si="59"/>
        <v>6.7254855952039625</v>
      </c>
    </row>
    <row r="756" spans="1:12" hidden="1" x14ac:dyDescent="0.3">
      <c r="A756" s="4">
        <v>1</v>
      </c>
      <c r="B756" s="5" t="s">
        <v>32</v>
      </c>
      <c r="C756" s="5">
        <v>190</v>
      </c>
      <c r="D756" s="4">
        <v>6.7206000000000001</v>
      </c>
      <c r="E756" s="4">
        <v>-4.0781999999999999E-2</v>
      </c>
      <c r="F756" s="6">
        <v>-6.1000000000000004E-3</v>
      </c>
      <c r="G756" s="7">
        <f t="shared" si="55"/>
        <v>0</v>
      </c>
      <c r="H756" s="1">
        <v>1.8400000000000001E-9</v>
      </c>
      <c r="I756" s="2">
        <f t="shared" si="56"/>
        <v>-8.7351821769904632</v>
      </c>
      <c r="J756" s="2">
        <f t="shared" si="57"/>
        <v>-8.7351821769904632</v>
      </c>
      <c r="K756" s="1">
        <f t="shared" si="58"/>
        <v>543478260.86956489</v>
      </c>
      <c r="L756" s="17">
        <f t="shared" si="59"/>
        <v>6.7207237356942446</v>
      </c>
    </row>
    <row r="757" spans="1:12" hidden="1" x14ac:dyDescent="0.3">
      <c r="A757" s="4">
        <v>1.2589300000000001</v>
      </c>
      <c r="B757" s="5" t="s">
        <v>32</v>
      </c>
      <c r="C757" s="5">
        <v>190</v>
      </c>
      <c r="D757" s="4">
        <v>6.7213000000000003</v>
      </c>
      <c r="E757" s="4">
        <v>-3.6718000000000001E-2</v>
      </c>
      <c r="F757" s="6">
        <v>-5.4999999999999997E-3</v>
      </c>
      <c r="G757" s="7">
        <f t="shared" si="55"/>
        <v>0.10000158280135207</v>
      </c>
      <c r="H757" s="1">
        <v>1.8400000000000001E-9</v>
      </c>
      <c r="I757" s="2">
        <f t="shared" si="56"/>
        <v>-8.7351821769904632</v>
      </c>
      <c r="J757" s="2">
        <f t="shared" si="57"/>
        <v>-8.6351805941891104</v>
      </c>
      <c r="K757" s="1">
        <f t="shared" si="58"/>
        <v>431698554.22427344</v>
      </c>
      <c r="L757" s="17">
        <f t="shared" si="59"/>
        <v>6.7214002932070631</v>
      </c>
    </row>
    <row r="758" spans="1:12" hidden="1" x14ac:dyDescent="0.3">
      <c r="A758" s="4">
        <v>1.5848899999999999</v>
      </c>
      <c r="B758" s="5" t="s">
        <v>32</v>
      </c>
      <c r="C758" s="5">
        <v>190</v>
      </c>
      <c r="D758" s="4">
        <v>6.7293000000000003</v>
      </c>
      <c r="E758" s="4">
        <v>-5.0934E-2</v>
      </c>
      <c r="F758" s="6">
        <v>-7.6E-3</v>
      </c>
      <c r="G758" s="7">
        <f t="shared" si="55"/>
        <v>0.19999912519679666</v>
      </c>
      <c r="H758" s="1">
        <v>1.8400000000000001E-9</v>
      </c>
      <c r="I758" s="2">
        <f t="shared" si="56"/>
        <v>-8.7351821769904632</v>
      </c>
      <c r="J758" s="2">
        <f t="shared" si="57"/>
        <v>-8.5351830517936662</v>
      </c>
      <c r="K758" s="1">
        <f t="shared" si="58"/>
        <v>342912290.99153018</v>
      </c>
      <c r="L758" s="17">
        <f t="shared" si="59"/>
        <v>6.729492756690953</v>
      </c>
    </row>
    <row r="759" spans="1:12" hidden="1" x14ac:dyDescent="0.3">
      <c r="A759" s="4">
        <v>1.99526</v>
      </c>
      <c r="B759" s="5" t="s">
        <v>32</v>
      </c>
      <c r="C759" s="5">
        <v>190</v>
      </c>
      <c r="D759" s="4">
        <v>6.7565</v>
      </c>
      <c r="E759" s="4">
        <v>-5.5189000000000002E-2</v>
      </c>
      <c r="F759" s="6">
        <v>-8.2000000000000007E-3</v>
      </c>
      <c r="G759" s="7">
        <f t="shared" si="55"/>
        <v>0.29999949611698379</v>
      </c>
      <c r="H759" s="1">
        <v>1.8400000000000001E-9</v>
      </c>
      <c r="I759" s="2">
        <f t="shared" si="56"/>
        <v>-8.7351821769904632</v>
      </c>
      <c r="J759" s="2">
        <f t="shared" si="57"/>
        <v>-8.4351826808734796</v>
      </c>
      <c r="K759" s="1">
        <f t="shared" si="58"/>
        <v>272384682.13143426</v>
      </c>
      <c r="L759" s="17">
        <f t="shared" si="59"/>
        <v>6.756725395908953</v>
      </c>
    </row>
    <row r="760" spans="1:12" hidden="1" x14ac:dyDescent="0.3">
      <c r="A760" s="4">
        <v>2.5118900000000002</v>
      </c>
      <c r="B760" s="5" t="s">
        <v>32</v>
      </c>
      <c r="C760" s="5">
        <v>190</v>
      </c>
      <c r="D760" s="4">
        <v>6.75</v>
      </c>
      <c r="E760" s="4">
        <v>-6.7360000000000003E-2</v>
      </c>
      <c r="F760" s="6">
        <v>-0.01</v>
      </c>
      <c r="G760" s="7">
        <f t="shared" si="55"/>
        <v>0.40000061697637995</v>
      </c>
      <c r="H760" s="1">
        <v>1.8400000000000001E-9</v>
      </c>
      <c r="I760" s="2">
        <f t="shared" si="56"/>
        <v>-8.7351821769904632</v>
      </c>
      <c r="J760" s="2">
        <f t="shared" si="57"/>
        <v>-8.3351815600140835</v>
      </c>
      <c r="K760" s="1">
        <f t="shared" si="58"/>
        <v>216362285.31884959</v>
      </c>
      <c r="L760" s="17">
        <f t="shared" si="59"/>
        <v>6.7503360930845515</v>
      </c>
    </row>
    <row r="761" spans="1:12" hidden="1" x14ac:dyDescent="0.3">
      <c r="A761" s="4">
        <v>3.16228</v>
      </c>
      <c r="B761" s="5" t="s">
        <v>32</v>
      </c>
      <c r="C761" s="5">
        <v>190</v>
      </c>
      <c r="D761" s="4">
        <v>6.7610000000000001</v>
      </c>
      <c r="E761" s="4">
        <v>-6.8471000000000004E-2</v>
      </c>
      <c r="F761" s="6">
        <v>-1.01E-2</v>
      </c>
      <c r="G761" s="7">
        <f t="shared" si="55"/>
        <v>0.50000032134293526</v>
      </c>
      <c r="H761" s="1">
        <v>1.8400000000000001E-9</v>
      </c>
      <c r="I761" s="2">
        <f t="shared" si="56"/>
        <v>-8.7351821769904632</v>
      </c>
      <c r="J761" s="2">
        <f t="shared" si="57"/>
        <v>-8.2351818556475287</v>
      </c>
      <c r="K761" s="1">
        <f t="shared" si="58"/>
        <v>171862789.14883152</v>
      </c>
      <c r="L761" s="17">
        <f t="shared" si="59"/>
        <v>6.7613467059337369</v>
      </c>
    </row>
    <row r="762" spans="1:12" hidden="1" x14ac:dyDescent="0.3">
      <c r="A762" s="4">
        <v>3.9810699999999999</v>
      </c>
      <c r="B762" s="5" t="s">
        <v>32</v>
      </c>
      <c r="C762" s="5">
        <v>190</v>
      </c>
      <c r="D762" s="4">
        <v>6.7819000000000003</v>
      </c>
      <c r="E762" s="4">
        <v>-7.6652999999999999E-2</v>
      </c>
      <c r="F762" s="6">
        <v>-1.1299999999999999E-2</v>
      </c>
      <c r="G762" s="7">
        <f t="shared" si="55"/>
        <v>0.59999981394342006</v>
      </c>
      <c r="H762" s="1">
        <v>1.8400000000000001E-9</v>
      </c>
      <c r="I762" s="2">
        <f t="shared" si="56"/>
        <v>-8.7351821769904632</v>
      </c>
      <c r="J762" s="2">
        <f t="shared" si="57"/>
        <v>-8.1351823630470435</v>
      </c>
      <c r="K762" s="1">
        <f t="shared" si="58"/>
        <v>136515625.41466668</v>
      </c>
      <c r="L762" s="17">
        <f t="shared" si="59"/>
        <v>6.7823331746832523</v>
      </c>
    </row>
    <row r="763" spans="1:12" hidden="1" x14ac:dyDescent="0.3">
      <c r="A763" s="4">
        <v>5.01187</v>
      </c>
      <c r="B763" s="5" t="s">
        <v>32</v>
      </c>
      <c r="C763" s="5">
        <v>190</v>
      </c>
      <c r="D763" s="4">
        <v>6.7794999999999996</v>
      </c>
      <c r="E763" s="4">
        <v>-5.1142E-2</v>
      </c>
      <c r="F763" s="6">
        <v>-7.4999999999999997E-3</v>
      </c>
      <c r="G763" s="7">
        <f t="shared" si="55"/>
        <v>0.69999979755458241</v>
      </c>
      <c r="H763" s="1">
        <v>1.8400000000000001E-9</v>
      </c>
      <c r="I763" s="2">
        <f t="shared" si="56"/>
        <v>-8.7351821769904632</v>
      </c>
      <c r="J763" s="2">
        <f t="shared" si="57"/>
        <v>-8.0351823794358808</v>
      </c>
      <c r="K763" s="1">
        <f t="shared" si="58"/>
        <v>108438219.840013</v>
      </c>
      <c r="L763" s="17">
        <f t="shared" si="59"/>
        <v>6.7796928952692239</v>
      </c>
    </row>
    <row r="764" spans="1:12" hidden="1" x14ac:dyDescent="0.3">
      <c r="A764" s="4">
        <v>6.3095800000000004</v>
      </c>
      <c r="B764" s="5" t="s">
        <v>32</v>
      </c>
      <c r="C764" s="5">
        <v>190</v>
      </c>
      <c r="D764" s="4">
        <v>6.7919</v>
      </c>
      <c r="E764" s="4">
        <v>-6.6821000000000005E-2</v>
      </c>
      <c r="F764" s="6">
        <v>-9.7999999999999997E-3</v>
      </c>
      <c r="G764" s="7">
        <f t="shared" si="55"/>
        <v>0.80000045120084495</v>
      </c>
      <c r="H764" s="1">
        <v>1.8400000000000001E-9</v>
      </c>
      <c r="I764" s="2">
        <f t="shared" si="56"/>
        <v>-8.7351821769904632</v>
      </c>
      <c r="J764" s="2">
        <f t="shared" si="57"/>
        <v>-7.9351817257896187</v>
      </c>
      <c r="K764" s="1">
        <f t="shared" si="58"/>
        <v>86135410.101712883</v>
      </c>
      <c r="L764" s="17">
        <f t="shared" si="59"/>
        <v>6.7922286957994134</v>
      </c>
    </row>
    <row r="765" spans="1:12" hidden="1" x14ac:dyDescent="0.3">
      <c r="A765" s="4">
        <v>7.9432900000000002</v>
      </c>
      <c r="B765" s="5" t="s">
        <v>32</v>
      </c>
      <c r="C765" s="5">
        <v>190</v>
      </c>
      <c r="D765" s="4">
        <v>6.7961</v>
      </c>
      <c r="E765" s="4">
        <v>-6.1420000000000002E-2</v>
      </c>
      <c r="F765" s="6">
        <v>-8.9999999999999993E-3</v>
      </c>
      <c r="G765" s="7">
        <f t="shared" si="55"/>
        <v>0.90000041840998102</v>
      </c>
      <c r="H765" s="1">
        <v>1.8400000000000001E-9</v>
      </c>
      <c r="I765" s="2">
        <f t="shared" si="56"/>
        <v>-8.7351821769904632</v>
      </c>
      <c r="J765" s="2">
        <f t="shared" si="57"/>
        <v>-7.8351817585804824</v>
      </c>
      <c r="K765" s="1">
        <f t="shared" si="58"/>
        <v>68419793.419296667</v>
      </c>
      <c r="L765" s="17">
        <f t="shared" si="59"/>
        <v>6.7963775370707591</v>
      </c>
    </row>
    <row r="766" spans="1:12" hidden="1" x14ac:dyDescent="0.3">
      <c r="A766" s="4">
        <v>10</v>
      </c>
      <c r="B766" s="5" t="s">
        <v>32</v>
      </c>
      <c r="C766" s="5">
        <v>190</v>
      </c>
      <c r="D766" s="4">
        <v>6.7967000000000004</v>
      </c>
      <c r="E766" s="4">
        <v>-5.8331000000000001E-2</v>
      </c>
      <c r="F766" s="6">
        <v>-8.6E-3</v>
      </c>
      <c r="G766" s="7">
        <f t="shared" si="55"/>
        <v>1</v>
      </c>
      <c r="H766" s="1">
        <v>1.8400000000000001E-9</v>
      </c>
      <c r="I766" s="2">
        <f t="shared" si="56"/>
        <v>-8.7351821769904632</v>
      </c>
      <c r="J766" s="2">
        <f t="shared" si="57"/>
        <v>-7.7351821769904632</v>
      </c>
      <c r="K766" s="1">
        <f t="shared" si="58"/>
        <v>54347826.086956628</v>
      </c>
      <c r="L766" s="17">
        <f t="shared" si="59"/>
        <v>6.7969503010954115</v>
      </c>
    </row>
    <row r="767" spans="1:12" hidden="1" x14ac:dyDescent="0.3">
      <c r="A767" s="4">
        <v>12.5893</v>
      </c>
      <c r="B767" s="5" t="s">
        <v>32</v>
      </c>
      <c r="C767" s="5">
        <v>190</v>
      </c>
      <c r="D767" s="4">
        <v>6.8074000000000003</v>
      </c>
      <c r="E767" s="4">
        <v>-7.3786000000000004E-2</v>
      </c>
      <c r="F767" s="6">
        <v>-1.0800000000000001E-2</v>
      </c>
      <c r="G767" s="7">
        <f t="shared" si="55"/>
        <v>1.1000015828013521</v>
      </c>
      <c r="H767" s="1">
        <v>1.8400000000000001E-9</v>
      </c>
      <c r="I767" s="2">
        <f t="shared" si="56"/>
        <v>-8.7351821769904632</v>
      </c>
      <c r="J767" s="2">
        <f t="shared" si="57"/>
        <v>-7.6351805941891113</v>
      </c>
      <c r="K767" s="1">
        <f t="shared" si="58"/>
        <v>43169855.422427446</v>
      </c>
      <c r="L767" s="17">
        <f t="shared" si="59"/>
        <v>6.8077998746875634</v>
      </c>
    </row>
    <row r="768" spans="1:12" hidden="1" x14ac:dyDescent="0.3">
      <c r="A768" s="4">
        <v>15.8489</v>
      </c>
      <c r="B768" s="5" t="s">
        <v>32</v>
      </c>
      <c r="C768" s="5">
        <v>190</v>
      </c>
      <c r="D768" s="4">
        <v>6.8022999999999998</v>
      </c>
      <c r="E768" s="4">
        <v>-8.4264000000000006E-2</v>
      </c>
      <c r="F768" s="6">
        <v>-1.24E-2</v>
      </c>
      <c r="G768" s="7">
        <f t="shared" si="55"/>
        <v>1.1999991251967967</v>
      </c>
      <c r="H768" s="1">
        <v>1.8400000000000001E-9</v>
      </c>
      <c r="I768" s="2">
        <f t="shared" si="56"/>
        <v>-8.7351821769904632</v>
      </c>
      <c r="J768" s="2">
        <f t="shared" si="57"/>
        <v>-7.5351830517936662</v>
      </c>
      <c r="K768" s="1">
        <f t="shared" si="58"/>
        <v>34291229.099152982</v>
      </c>
      <c r="L768" s="17">
        <f t="shared" si="59"/>
        <v>6.8028218932804636</v>
      </c>
    </row>
    <row r="769" spans="1:12" hidden="1" x14ac:dyDescent="0.3">
      <c r="A769" s="4">
        <v>19.9526</v>
      </c>
      <c r="B769" s="5" t="s">
        <v>32</v>
      </c>
      <c r="C769" s="5">
        <v>190</v>
      </c>
      <c r="D769" s="4">
        <v>6.8181000000000003</v>
      </c>
      <c r="E769" s="4">
        <v>-5.4650999999999998E-2</v>
      </c>
      <c r="F769" s="6">
        <v>-8.0000000000000002E-3</v>
      </c>
      <c r="G769" s="7">
        <f t="shared" si="55"/>
        <v>1.2999994961169838</v>
      </c>
      <c r="H769" s="1">
        <v>1.8400000000000001E-9</v>
      </c>
      <c r="I769" s="2">
        <f t="shared" si="56"/>
        <v>-8.7351821769904632</v>
      </c>
      <c r="J769" s="2">
        <f t="shared" si="57"/>
        <v>-7.4351826808734796</v>
      </c>
      <c r="K769" s="1">
        <f t="shared" si="58"/>
        <v>27238468.213143393</v>
      </c>
      <c r="L769" s="17">
        <f t="shared" si="59"/>
        <v>6.8183190261090747</v>
      </c>
    </row>
    <row r="770" spans="1:12" hidden="1" x14ac:dyDescent="0.3">
      <c r="A770" s="4">
        <v>25.1189</v>
      </c>
      <c r="B770" s="5" t="s">
        <v>32</v>
      </c>
      <c r="C770" s="5">
        <v>190</v>
      </c>
      <c r="D770" s="4">
        <v>6.8075999999999999</v>
      </c>
      <c r="E770" s="4">
        <v>-3.9045999999999997E-2</v>
      </c>
      <c r="F770" s="6">
        <v>-5.7000000000000002E-3</v>
      </c>
      <c r="G770" s="7">
        <f t="shared" si="55"/>
        <v>1.4000006169763799</v>
      </c>
      <c r="H770" s="1">
        <v>1.8400000000000001E-9</v>
      </c>
      <c r="I770" s="2">
        <f t="shared" si="56"/>
        <v>-8.7351821769904632</v>
      </c>
      <c r="J770" s="2">
        <f t="shared" si="57"/>
        <v>-7.3351815600140835</v>
      </c>
      <c r="K770" s="1">
        <f t="shared" si="58"/>
        <v>21636228.531885017</v>
      </c>
      <c r="L770" s="17">
        <f t="shared" si="59"/>
        <v>6.8077119761426452</v>
      </c>
    </row>
    <row r="771" spans="1:12" hidden="1" x14ac:dyDescent="0.3">
      <c r="A771" s="4">
        <v>31.622800000000002</v>
      </c>
      <c r="B771" s="5" t="s">
        <v>32</v>
      </c>
      <c r="C771" s="5">
        <v>190</v>
      </c>
      <c r="D771" s="4">
        <v>6.8472999999999997</v>
      </c>
      <c r="E771" s="4">
        <v>-4.7284E-2</v>
      </c>
      <c r="F771" s="6">
        <v>-6.8999999999999999E-3</v>
      </c>
      <c r="G771" s="7">
        <f t="shared" ref="G771:G807" si="60">LOG(A771)</f>
        <v>1.5000003213429354</v>
      </c>
      <c r="H771" s="1">
        <v>1.8400000000000001E-9</v>
      </c>
      <c r="I771" s="2">
        <f t="shared" ref="I771:I807" si="61">LOG(H771)</f>
        <v>-8.7351821769904632</v>
      </c>
      <c r="J771" s="2">
        <f t="shared" ref="J771:J807" si="62">G771+I771</f>
        <v>-7.2351818556475278</v>
      </c>
      <c r="K771" s="1">
        <f t="shared" ref="K771:K807" si="63">1/10^J771</f>
        <v>17186278.914883133</v>
      </c>
      <c r="L771" s="17">
        <f t="shared" ref="L771:L807" si="64">SQRT(D771^2+E771^2)</f>
        <v>6.8474632577806505</v>
      </c>
    </row>
    <row r="772" spans="1:12" hidden="1" x14ac:dyDescent="0.3">
      <c r="A772" s="4">
        <v>39.810699999999997</v>
      </c>
      <c r="B772" s="5" t="s">
        <v>32</v>
      </c>
      <c r="C772" s="5">
        <v>190</v>
      </c>
      <c r="D772" s="4">
        <v>6.8129999999999997</v>
      </c>
      <c r="E772" s="4">
        <v>-6.2990000000000004E-2</v>
      </c>
      <c r="F772" s="6">
        <v>-9.1999999999999998E-3</v>
      </c>
      <c r="G772" s="7">
        <f t="shared" si="60"/>
        <v>1.5999998139434199</v>
      </c>
      <c r="H772" s="1">
        <v>1.8400000000000001E-9</v>
      </c>
      <c r="I772" s="2">
        <f t="shared" si="61"/>
        <v>-8.7351821769904632</v>
      </c>
      <c r="J772" s="2">
        <f t="shared" si="62"/>
        <v>-7.1351823630470435</v>
      </c>
      <c r="K772" s="1">
        <f t="shared" si="63"/>
        <v>13651562.541466655</v>
      </c>
      <c r="L772" s="17">
        <f t="shared" si="64"/>
        <v>6.8132911826884364</v>
      </c>
    </row>
    <row r="773" spans="1:12" hidden="1" x14ac:dyDescent="0.3">
      <c r="A773" s="4">
        <v>50.1188</v>
      </c>
      <c r="B773" s="5" t="s">
        <v>32</v>
      </c>
      <c r="C773" s="5">
        <v>190</v>
      </c>
      <c r="D773" s="4">
        <v>6.8327999999999998</v>
      </c>
      <c r="E773" s="4">
        <v>-3.5283000000000002E-2</v>
      </c>
      <c r="F773" s="6">
        <v>-5.1999999999999998E-3</v>
      </c>
      <c r="G773" s="7">
        <f t="shared" si="60"/>
        <v>1.7000006640855352</v>
      </c>
      <c r="H773" s="1">
        <v>1.8400000000000001E-9</v>
      </c>
      <c r="I773" s="2">
        <f t="shared" si="61"/>
        <v>-8.7351821769904632</v>
      </c>
      <c r="J773" s="2">
        <f t="shared" si="62"/>
        <v>-7.035181512904928</v>
      </c>
      <c r="K773" s="1">
        <f t="shared" si="63"/>
        <v>10843800.347765023</v>
      </c>
      <c r="L773" s="17">
        <f t="shared" si="64"/>
        <v>6.8328910960214344</v>
      </c>
    </row>
    <row r="774" spans="1:12" x14ac:dyDescent="0.3">
      <c r="A774" s="4">
        <v>63.095799999999997</v>
      </c>
      <c r="B774" s="5" t="s">
        <v>32</v>
      </c>
      <c r="C774" s="5">
        <v>190</v>
      </c>
      <c r="D774" s="4">
        <v>6.8383000000000003</v>
      </c>
      <c r="E774" s="4">
        <v>3.2648299999999998E-3</v>
      </c>
      <c r="F774" s="8">
        <v>4.7742999999999999E-4</v>
      </c>
      <c r="G774" s="7">
        <f t="shared" si="60"/>
        <v>1.800000451200845</v>
      </c>
      <c r="H774" s="1">
        <v>1.8400000000000001E-9</v>
      </c>
      <c r="I774" s="2">
        <f t="shared" si="61"/>
        <v>-8.7351821769904632</v>
      </c>
      <c r="J774" s="2">
        <f t="shared" si="62"/>
        <v>-6.9351817257896187</v>
      </c>
      <c r="K774" s="1">
        <f t="shared" si="63"/>
        <v>8613541.0101712942</v>
      </c>
      <c r="L774" s="17">
        <f t="shared" si="64"/>
        <v>6.8383007793687263</v>
      </c>
    </row>
    <row r="775" spans="1:12" hidden="1" x14ac:dyDescent="0.3">
      <c r="A775" s="4">
        <v>79.432900000000004</v>
      </c>
      <c r="B775" s="5" t="s">
        <v>32</v>
      </c>
      <c r="C775" s="5">
        <v>190</v>
      </c>
      <c r="D775" s="4">
        <v>6.8249000000000004</v>
      </c>
      <c r="E775" s="4">
        <v>-2.9843000000000001E-2</v>
      </c>
      <c r="F775" s="6">
        <v>-4.4000000000000003E-3</v>
      </c>
      <c r="G775" s="7">
        <f t="shared" si="60"/>
        <v>1.900000418409981</v>
      </c>
      <c r="H775" s="1">
        <v>1.8400000000000001E-9</v>
      </c>
      <c r="I775" s="2">
        <f t="shared" si="61"/>
        <v>-8.7351821769904632</v>
      </c>
      <c r="J775" s="2">
        <f t="shared" si="62"/>
        <v>-6.8351817585804824</v>
      </c>
      <c r="K775" s="1">
        <f t="shared" si="63"/>
        <v>6841979.3419296714</v>
      </c>
      <c r="L775" s="17">
        <f t="shared" si="64"/>
        <v>6.8249652464059487</v>
      </c>
    </row>
    <row r="776" spans="1:12" hidden="1" x14ac:dyDescent="0.3">
      <c r="A776" s="4">
        <v>100</v>
      </c>
      <c r="B776" s="5" t="s">
        <v>32</v>
      </c>
      <c r="C776" s="5">
        <v>190</v>
      </c>
      <c r="D776" s="4">
        <v>6.8177000000000003</v>
      </c>
      <c r="E776" s="4">
        <v>-3.9166000000000001E-3</v>
      </c>
      <c r="F776" s="8">
        <v>-5.7450000000000003E-4</v>
      </c>
      <c r="G776" s="7">
        <f t="shared" si="60"/>
        <v>2</v>
      </c>
      <c r="H776" s="1">
        <v>1.8400000000000001E-9</v>
      </c>
      <c r="I776" s="2">
        <f t="shared" si="61"/>
        <v>-8.7351821769904632</v>
      </c>
      <c r="J776" s="2">
        <f t="shared" si="62"/>
        <v>-6.7351821769904632</v>
      </c>
      <c r="K776" s="1">
        <f t="shared" si="63"/>
        <v>5434782.608695657</v>
      </c>
      <c r="L776" s="17">
        <f t="shared" si="64"/>
        <v>6.817701124994815</v>
      </c>
    </row>
    <row r="777" spans="1:12" x14ac:dyDescent="0.3">
      <c r="A777" s="9">
        <v>0.1</v>
      </c>
      <c r="B777" s="10" t="s">
        <v>33</v>
      </c>
      <c r="C777" s="5">
        <v>200</v>
      </c>
      <c r="D777" s="9">
        <v>6.8056000000000001</v>
      </c>
      <c r="E777" s="9">
        <v>0.12347</v>
      </c>
      <c r="F777" s="11">
        <v>1.814E-2</v>
      </c>
      <c r="G777" s="12">
        <f t="shared" si="60"/>
        <v>-1</v>
      </c>
      <c r="H777" s="1">
        <v>1.8400000000000001E-10</v>
      </c>
      <c r="I777" s="2">
        <f t="shared" si="61"/>
        <v>-9.7351821769904632</v>
      </c>
      <c r="J777" s="2">
        <f t="shared" si="62"/>
        <v>-10.735182176990463</v>
      </c>
      <c r="K777" s="1">
        <f t="shared" si="63"/>
        <v>54347826086.956612</v>
      </c>
      <c r="L777" s="17">
        <f t="shared" si="64"/>
        <v>6.8067199296650962</v>
      </c>
    </row>
    <row r="778" spans="1:12" x14ac:dyDescent="0.3">
      <c r="A778" s="9">
        <v>0.12589</v>
      </c>
      <c r="B778" s="10" t="s">
        <v>33</v>
      </c>
      <c r="C778" s="5">
        <v>200</v>
      </c>
      <c r="D778" s="9">
        <v>6.6647999999999996</v>
      </c>
      <c r="E778" s="9">
        <v>9.93927E-2</v>
      </c>
      <c r="F778" s="11">
        <v>1.491E-2</v>
      </c>
      <c r="G778" s="12">
        <f t="shared" si="60"/>
        <v>-0.90000876645531558</v>
      </c>
      <c r="H778" s="1">
        <v>1.8400000000000001E-10</v>
      </c>
      <c r="I778" s="2">
        <f t="shared" si="61"/>
        <v>-9.7351821769904632</v>
      </c>
      <c r="J778" s="2">
        <f t="shared" si="62"/>
        <v>-10.635190943445778</v>
      </c>
      <c r="K778" s="1">
        <f t="shared" si="63"/>
        <v>43170884174.244553</v>
      </c>
      <c r="L778" s="17">
        <f t="shared" si="64"/>
        <v>6.6655410844741843</v>
      </c>
    </row>
    <row r="779" spans="1:12" x14ac:dyDescent="0.3">
      <c r="A779" s="9">
        <v>0.15848999999999999</v>
      </c>
      <c r="B779" s="10" t="s">
        <v>33</v>
      </c>
      <c r="C779" s="5">
        <v>200</v>
      </c>
      <c r="D779" s="9">
        <v>6.6726000000000001</v>
      </c>
      <c r="E779" s="9">
        <v>8.3791699999999997E-2</v>
      </c>
      <c r="F779" s="11">
        <v>1.256E-2</v>
      </c>
      <c r="G779" s="12">
        <f t="shared" si="60"/>
        <v>-0.79999813459339819</v>
      </c>
      <c r="H779" s="1">
        <v>1.8400000000000001E-10</v>
      </c>
      <c r="I779" s="2">
        <f t="shared" si="61"/>
        <v>-9.7351821769904632</v>
      </c>
      <c r="J779" s="2">
        <f t="shared" si="62"/>
        <v>-10.535180311583861</v>
      </c>
      <c r="K779" s="1">
        <f t="shared" si="63"/>
        <v>34291012737.05378</v>
      </c>
      <c r="L779" s="17">
        <f t="shared" si="64"/>
        <v>6.6731260896965594</v>
      </c>
    </row>
    <row r="780" spans="1:12" x14ac:dyDescent="0.3">
      <c r="A780" s="9">
        <v>0.19953000000000001</v>
      </c>
      <c r="B780" s="10" t="s">
        <v>33</v>
      </c>
      <c r="C780" s="5">
        <v>200</v>
      </c>
      <c r="D780" s="9">
        <v>6.6729000000000003</v>
      </c>
      <c r="E780" s="9">
        <v>0.10514999999999999</v>
      </c>
      <c r="F780" s="11">
        <v>1.576E-2</v>
      </c>
      <c r="G780" s="12">
        <f t="shared" si="60"/>
        <v>-0.69999179744618689</v>
      </c>
      <c r="H780" s="1">
        <v>1.8400000000000001E-10</v>
      </c>
      <c r="I780" s="2">
        <f t="shared" si="61"/>
        <v>-9.7351821769904632</v>
      </c>
      <c r="J780" s="2">
        <f t="shared" si="62"/>
        <v>-10.435173974436649</v>
      </c>
      <c r="K780" s="1">
        <f t="shared" si="63"/>
        <v>27237922160.555595</v>
      </c>
      <c r="L780" s="17">
        <f t="shared" si="64"/>
        <v>6.6737284131510783</v>
      </c>
    </row>
    <row r="781" spans="1:12" x14ac:dyDescent="0.3">
      <c r="A781" s="9">
        <v>0.25119000000000002</v>
      </c>
      <c r="B781" s="10" t="s">
        <v>33</v>
      </c>
      <c r="C781" s="5">
        <v>200</v>
      </c>
      <c r="D781" s="9">
        <v>6.6856999999999998</v>
      </c>
      <c r="E781" s="9">
        <v>6.1433399999999999E-2</v>
      </c>
      <c r="F781" s="11">
        <v>9.1900000000000003E-3</v>
      </c>
      <c r="G781" s="12">
        <f t="shared" si="60"/>
        <v>-0.59999765407204408</v>
      </c>
      <c r="H781" s="1">
        <v>1.8400000000000001E-10</v>
      </c>
      <c r="I781" s="2">
        <f t="shared" si="61"/>
        <v>-9.7351821769904632</v>
      </c>
      <c r="J781" s="2">
        <f t="shared" si="62"/>
        <v>-10.335179831062508</v>
      </c>
      <c r="K781" s="1">
        <f t="shared" si="63"/>
        <v>21636142396.973076</v>
      </c>
      <c r="L781" s="17">
        <f t="shared" si="64"/>
        <v>6.6859822429195512</v>
      </c>
    </row>
    <row r="782" spans="1:12" x14ac:dyDescent="0.3">
      <c r="A782" s="9">
        <v>0.31623000000000001</v>
      </c>
      <c r="B782" s="10" t="s">
        <v>33</v>
      </c>
      <c r="C782" s="5">
        <v>200</v>
      </c>
      <c r="D782" s="9">
        <v>6.7473999999999998</v>
      </c>
      <c r="E782" s="9">
        <v>8.6153700000000007E-3</v>
      </c>
      <c r="F782" s="11">
        <v>1.2800000000000001E-3</v>
      </c>
      <c r="G782" s="12">
        <f t="shared" si="60"/>
        <v>-0.4999969319483068</v>
      </c>
      <c r="H782" s="1">
        <v>1.8400000000000001E-10</v>
      </c>
      <c r="I782" s="2">
        <f t="shared" si="61"/>
        <v>-9.7351821769904632</v>
      </c>
      <c r="J782" s="2">
        <f t="shared" si="62"/>
        <v>-10.23517910893877</v>
      </c>
      <c r="K782" s="1">
        <f t="shared" si="63"/>
        <v>17186170220.079239</v>
      </c>
      <c r="L782" s="17">
        <f t="shared" si="64"/>
        <v>6.7474055002349038</v>
      </c>
    </row>
    <row r="783" spans="1:12" x14ac:dyDescent="0.3">
      <c r="A783" s="9">
        <v>0.39811000000000002</v>
      </c>
      <c r="B783" s="10" t="s">
        <v>33</v>
      </c>
      <c r="C783" s="5">
        <v>200</v>
      </c>
      <c r="D783" s="9">
        <v>6.7464000000000004</v>
      </c>
      <c r="E783" s="9">
        <v>1.5574899999999999E-2</v>
      </c>
      <c r="F783" s="11">
        <v>2.31E-3</v>
      </c>
      <c r="G783" s="12">
        <f t="shared" si="60"/>
        <v>-0.39999691337225962</v>
      </c>
      <c r="H783" s="1">
        <v>1.8400000000000001E-10</v>
      </c>
      <c r="I783" s="2">
        <f t="shared" si="61"/>
        <v>-9.7351821769904632</v>
      </c>
      <c r="J783" s="2">
        <f t="shared" si="62"/>
        <v>-10.135179090362723</v>
      </c>
      <c r="K783" s="1">
        <f t="shared" si="63"/>
        <v>13651459668.673605</v>
      </c>
      <c r="L783" s="17">
        <f t="shared" si="64"/>
        <v>6.7464179782689131</v>
      </c>
    </row>
    <row r="784" spans="1:12" x14ac:dyDescent="0.3">
      <c r="A784" s="9">
        <v>0.50119000000000002</v>
      </c>
      <c r="B784" s="10" t="s">
        <v>33</v>
      </c>
      <c r="C784" s="5">
        <v>200</v>
      </c>
      <c r="D784" s="9">
        <v>6.7412999999999998</v>
      </c>
      <c r="E784" s="9">
        <v>2.398E-3</v>
      </c>
      <c r="F784" s="13">
        <v>3.5572000000000002E-4</v>
      </c>
      <c r="G784" s="12">
        <f t="shared" si="60"/>
        <v>-0.29999760285774607</v>
      </c>
      <c r="H784" s="1">
        <v>1.8400000000000001E-10</v>
      </c>
      <c r="I784" s="2">
        <f t="shared" si="61"/>
        <v>-9.7351821769904632</v>
      </c>
      <c r="J784" s="2">
        <f t="shared" si="62"/>
        <v>-10.035179779848209</v>
      </c>
      <c r="K784" s="1">
        <f t="shared" si="63"/>
        <v>10843757075.551481</v>
      </c>
      <c r="L784" s="17">
        <f t="shared" si="64"/>
        <v>6.7413004265055561</v>
      </c>
    </row>
    <row r="785" spans="1:12" x14ac:dyDescent="0.3">
      <c r="A785" s="9">
        <v>0.63095999999999997</v>
      </c>
      <c r="B785" s="10" t="s">
        <v>33</v>
      </c>
      <c r="C785" s="5">
        <v>200</v>
      </c>
      <c r="D785" s="9">
        <v>6.7375999999999996</v>
      </c>
      <c r="E785" s="9">
        <v>8.7064799999999991E-3</v>
      </c>
      <c r="F785" s="11">
        <v>1.2899999999999999E-3</v>
      </c>
      <c r="G785" s="12">
        <f t="shared" si="60"/>
        <v>-0.19999817218203128</v>
      </c>
      <c r="H785" s="1">
        <v>1.8400000000000001E-10</v>
      </c>
      <c r="I785" s="2">
        <f t="shared" si="61"/>
        <v>-9.7351821769904632</v>
      </c>
      <c r="J785" s="2">
        <f t="shared" si="62"/>
        <v>-9.9351803491724944</v>
      </c>
      <c r="K785" s="1">
        <f t="shared" si="63"/>
        <v>8613513707.2011929</v>
      </c>
      <c r="L785" s="17">
        <f t="shared" si="64"/>
        <v>6.7376056253534156</v>
      </c>
    </row>
    <row r="786" spans="1:12" hidden="1" x14ac:dyDescent="0.3">
      <c r="A786" s="9">
        <v>0.79432999999999998</v>
      </c>
      <c r="B786" s="10" t="s">
        <v>33</v>
      </c>
      <c r="C786" s="5">
        <v>200</v>
      </c>
      <c r="D786" s="9">
        <v>6.7542999999999997</v>
      </c>
      <c r="E786" s="9">
        <v>-2.4109999999999999E-2</v>
      </c>
      <c r="F786" s="11">
        <v>-3.5999999999999999E-3</v>
      </c>
      <c r="G786" s="12">
        <f t="shared" si="60"/>
        <v>-9.9999034846530471E-2</v>
      </c>
      <c r="H786" s="1">
        <v>1.8400000000000001E-10</v>
      </c>
      <c r="I786" s="2">
        <f t="shared" si="61"/>
        <v>-9.7351821769904632</v>
      </c>
      <c r="J786" s="2">
        <f t="shared" si="62"/>
        <v>-9.8351812118369928</v>
      </c>
      <c r="K786" s="1">
        <f t="shared" si="63"/>
        <v>6841970728.4071512</v>
      </c>
      <c r="L786" s="17">
        <f t="shared" si="64"/>
        <v>6.7543430311244927</v>
      </c>
    </row>
    <row r="787" spans="1:12" hidden="1" x14ac:dyDescent="0.3">
      <c r="A787" s="9">
        <v>1</v>
      </c>
      <c r="B787" s="10" t="s">
        <v>33</v>
      </c>
      <c r="C787" s="5">
        <v>200</v>
      </c>
      <c r="D787" s="9">
        <v>6.7723000000000004</v>
      </c>
      <c r="E787" s="9">
        <v>-6.7840000000000001E-3</v>
      </c>
      <c r="F787" s="11">
        <v>-1E-3</v>
      </c>
      <c r="G787" s="12">
        <f t="shared" si="60"/>
        <v>0</v>
      </c>
      <c r="H787" s="1">
        <v>1.8400000000000001E-10</v>
      </c>
      <c r="I787" s="2">
        <f t="shared" si="61"/>
        <v>-9.7351821769904632</v>
      </c>
      <c r="J787" s="2">
        <f t="shared" si="62"/>
        <v>-9.7351821769904632</v>
      </c>
      <c r="K787" s="1">
        <f t="shared" si="63"/>
        <v>5434782608.6956549</v>
      </c>
      <c r="L787" s="17">
        <f t="shared" si="64"/>
        <v>6.7723033978592548</v>
      </c>
    </row>
    <row r="788" spans="1:12" hidden="1" x14ac:dyDescent="0.3">
      <c r="A788" s="9">
        <v>1.2589300000000001</v>
      </c>
      <c r="B788" s="10" t="s">
        <v>33</v>
      </c>
      <c r="C788" s="5">
        <v>200</v>
      </c>
      <c r="D788" s="9">
        <v>6.7752999999999997</v>
      </c>
      <c r="E788" s="9">
        <v>-3.7175E-2</v>
      </c>
      <c r="F788" s="11">
        <v>-5.4999999999999997E-3</v>
      </c>
      <c r="G788" s="12">
        <f t="shared" si="60"/>
        <v>0.10000158280135207</v>
      </c>
      <c r="H788" s="1">
        <v>1.8400000000000001E-10</v>
      </c>
      <c r="I788" s="2">
        <f t="shared" si="61"/>
        <v>-9.7351821769904632</v>
      </c>
      <c r="J788" s="2">
        <f t="shared" si="62"/>
        <v>-9.6351805941891104</v>
      </c>
      <c r="K788" s="1">
        <f t="shared" si="63"/>
        <v>4316985542.2427387</v>
      </c>
      <c r="L788" s="17">
        <f t="shared" si="64"/>
        <v>6.7754019859064449</v>
      </c>
    </row>
    <row r="789" spans="1:12" hidden="1" x14ac:dyDescent="0.3">
      <c r="A789" s="9">
        <v>1.5848899999999999</v>
      </c>
      <c r="B789" s="10" t="s">
        <v>33</v>
      </c>
      <c r="C789" s="5">
        <v>200</v>
      </c>
      <c r="D789" s="9">
        <v>6.7755000000000001</v>
      </c>
      <c r="E789" s="9">
        <v>-2.0390999999999999E-2</v>
      </c>
      <c r="F789" s="11">
        <v>-3.0000000000000001E-3</v>
      </c>
      <c r="G789" s="12">
        <f t="shared" si="60"/>
        <v>0.19999912519679666</v>
      </c>
      <c r="H789" s="1">
        <v>1.8400000000000001E-10</v>
      </c>
      <c r="I789" s="2">
        <f t="shared" si="61"/>
        <v>-9.7351821769904632</v>
      </c>
      <c r="J789" s="2">
        <f t="shared" si="62"/>
        <v>-9.5351830517936662</v>
      </c>
      <c r="K789" s="1">
        <f t="shared" si="63"/>
        <v>3429122909.9152937</v>
      </c>
      <c r="L789" s="17">
        <f t="shared" si="64"/>
        <v>6.7755306834875304</v>
      </c>
    </row>
    <row r="790" spans="1:12" hidden="1" x14ac:dyDescent="0.3">
      <c r="A790" s="9">
        <v>1.99526</v>
      </c>
      <c r="B790" s="10" t="s">
        <v>33</v>
      </c>
      <c r="C790" s="5">
        <v>200</v>
      </c>
      <c r="D790" s="9">
        <v>6.7834000000000003</v>
      </c>
      <c r="E790" s="9">
        <v>-5.2343000000000001E-2</v>
      </c>
      <c r="F790" s="11">
        <v>-7.7000000000000002E-3</v>
      </c>
      <c r="G790" s="12">
        <f t="shared" si="60"/>
        <v>0.29999949611698379</v>
      </c>
      <c r="H790" s="1">
        <v>1.8400000000000001E-10</v>
      </c>
      <c r="I790" s="2">
        <f t="shared" si="61"/>
        <v>-9.7351821769904632</v>
      </c>
      <c r="J790" s="2">
        <f t="shared" si="62"/>
        <v>-9.4351826808734796</v>
      </c>
      <c r="K790" s="1">
        <f t="shared" si="63"/>
        <v>2723846821.3143454</v>
      </c>
      <c r="L790" s="17">
        <f t="shared" si="64"/>
        <v>6.7836019451062288</v>
      </c>
    </row>
    <row r="791" spans="1:12" hidden="1" x14ac:dyDescent="0.3">
      <c r="A791" s="9">
        <v>2.5118900000000002</v>
      </c>
      <c r="B791" s="10" t="s">
        <v>33</v>
      </c>
      <c r="C791" s="5">
        <v>200</v>
      </c>
      <c r="D791" s="9">
        <v>6.8019999999999996</v>
      </c>
      <c r="E791" s="9">
        <v>-4.2698E-2</v>
      </c>
      <c r="F791" s="11">
        <v>-6.3E-3</v>
      </c>
      <c r="G791" s="12">
        <f t="shared" si="60"/>
        <v>0.40000061697637995</v>
      </c>
      <c r="H791" s="1">
        <v>1.8400000000000001E-10</v>
      </c>
      <c r="I791" s="2">
        <f t="shared" si="61"/>
        <v>-9.7351821769904632</v>
      </c>
      <c r="J791" s="2">
        <f t="shared" si="62"/>
        <v>-9.3351815600140835</v>
      </c>
      <c r="K791" s="1">
        <f t="shared" si="63"/>
        <v>2163622853.1884985</v>
      </c>
      <c r="L791" s="17">
        <f t="shared" si="64"/>
        <v>6.8021340121467757</v>
      </c>
    </row>
    <row r="792" spans="1:12" hidden="1" x14ac:dyDescent="0.3">
      <c r="A792" s="9">
        <v>3.16228</v>
      </c>
      <c r="B792" s="10" t="s">
        <v>33</v>
      </c>
      <c r="C792" s="5">
        <v>200</v>
      </c>
      <c r="D792" s="9">
        <v>6.8009000000000004</v>
      </c>
      <c r="E792" s="9">
        <v>-4.6124999999999999E-2</v>
      </c>
      <c r="F792" s="11">
        <v>-6.7999999999999996E-3</v>
      </c>
      <c r="G792" s="12">
        <f t="shared" si="60"/>
        <v>0.50000032134293526</v>
      </c>
      <c r="H792" s="1">
        <v>1.8400000000000001E-10</v>
      </c>
      <c r="I792" s="2">
        <f t="shared" si="61"/>
        <v>-9.7351821769904632</v>
      </c>
      <c r="J792" s="2">
        <f t="shared" si="62"/>
        <v>-9.2351818556475287</v>
      </c>
      <c r="K792" s="1">
        <f t="shared" si="63"/>
        <v>1718627891.488317</v>
      </c>
      <c r="L792" s="17">
        <f t="shared" si="64"/>
        <v>6.8010564124718886</v>
      </c>
    </row>
    <row r="793" spans="1:12" hidden="1" x14ac:dyDescent="0.3">
      <c r="A793" s="9">
        <v>3.9810699999999999</v>
      </c>
      <c r="B793" s="10" t="s">
        <v>33</v>
      </c>
      <c r="C793" s="5">
        <v>200</v>
      </c>
      <c r="D793" s="9">
        <v>6.8129999999999997</v>
      </c>
      <c r="E793" s="9">
        <v>-5.0127999999999999E-2</v>
      </c>
      <c r="F793" s="11">
        <v>-7.4000000000000003E-3</v>
      </c>
      <c r="G793" s="12">
        <f t="shared" si="60"/>
        <v>0.59999981394342006</v>
      </c>
      <c r="H793" s="1">
        <v>1.8400000000000001E-10</v>
      </c>
      <c r="I793" s="2">
        <f t="shared" si="61"/>
        <v>-9.7351821769904632</v>
      </c>
      <c r="J793" s="2">
        <f t="shared" si="62"/>
        <v>-9.1351823630470435</v>
      </c>
      <c r="K793" s="1">
        <f t="shared" si="63"/>
        <v>1365156254.1466637</v>
      </c>
      <c r="L793" s="17">
        <f t="shared" si="64"/>
        <v>6.8131844108598729</v>
      </c>
    </row>
    <row r="794" spans="1:12" hidden="1" x14ac:dyDescent="0.3">
      <c r="A794" s="9">
        <v>5.01187</v>
      </c>
      <c r="B794" s="10" t="s">
        <v>33</v>
      </c>
      <c r="C794" s="5">
        <v>200</v>
      </c>
      <c r="D794" s="9">
        <v>6.8343999999999996</v>
      </c>
      <c r="E794" s="9">
        <v>-4.6269999999999999E-2</v>
      </c>
      <c r="F794" s="11">
        <v>-6.7999999999999996E-3</v>
      </c>
      <c r="G794" s="12">
        <f t="shared" si="60"/>
        <v>0.69999979755458241</v>
      </c>
      <c r="H794" s="1">
        <v>1.8400000000000001E-10</v>
      </c>
      <c r="I794" s="2">
        <f t="shared" si="61"/>
        <v>-9.7351821769904632</v>
      </c>
      <c r="J794" s="2">
        <f t="shared" si="62"/>
        <v>-9.0351823794358808</v>
      </c>
      <c r="K794" s="1">
        <f t="shared" si="63"/>
        <v>1084382198.4001312</v>
      </c>
      <c r="L794" s="17">
        <f t="shared" si="64"/>
        <v>6.8345566259194896</v>
      </c>
    </row>
    <row r="795" spans="1:12" hidden="1" x14ac:dyDescent="0.3">
      <c r="A795" s="9">
        <v>6.3095800000000004</v>
      </c>
      <c r="B795" s="10" t="s">
        <v>33</v>
      </c>
      <c r="C795" s="5">
        <v>200</v>
      </c>
      <c r="D795" s="9">
        <v>6.8296000000000001</v>
      </c>
      <c r="E795" s="9">
        <v>-5.1944999999999998E-2</v>
      </c>
      <c r="F795" s="11">
        <v>-7.6E-3</v>
      </c>
      <c r="G795" s="12">
        <f t="shared" si="60"/>
        <v>0.80000045120084495</v>
      </c>
      <c r="H795" s="1">
        <v>1.8400000000000001E-10</v>
      </c>
      <c r="I795" s="2">
        <f t="shared" si="61"/>
        <v>-9.7351821769904632</v>
      </c>
      <c r="J795" s="2">
        <f t="shared" si="62"/>
        <v>-8.9351817257896187</v>
      </c>
      <c r="K795" s="1">
        <f t="shared" si="63"/>
        <v>861354101.01712978</v>
      </c>
      <c r="L795" s="17">
        <f t="shared" si="64"/>
        <v>6.8297975404125264</v>
      </c>
    </row>
    <row r="796" spans="1:12" hidden="1" x14ac:dyDescent="0.3">
      <c r="A796" s="9">
        <v>7.9432900000000002</v>
      </c>
      <c r="B796" s="10" t="s">
        <v>33</v>
      </c>
      <c r="C796" s="5">
        <v>200</v>
      </c>
      <c r="D796" s="9">
        <v>6.8379000000000003</v>
      </c>
      <c r="E796" s="9">
        <v>-4.6695E-2</v>
      </c>
      <c r="F796" s="11">
        <v>-6.7999999999999996E-3</v>
      </c>
      <c r="G796" s="12">
        <f t="shared" si="60"/>
        <v>0.90000041840998102</v>
      </c>
      <c r="H796" s="1">
        <v>1.8400000000000001E-10</v>
      </c>
      <c r="I796" s="2">
        <f t="shared" si="61"/>
        <v>-9.7351821769904632</v>
      </c>
      <c r="J796" s="2">
        <f t="shared" si="62"/>
        <v>-8.8351817585804824</v>
      </c>
      <c r="K796" s="1">
        <f t="shared" si="63"/>
        <v>684197934.19296741</v>
      </c>
      <c r="L796" s="17">
        <f t="shared" si="64"/>
        <v>6.8380594347391428</v>
      </c>
    </row>
    <row r="797" spans="1:12" hidden="1" x14ac:dyDescent="0.3">
      <c r="A797" s="9">
        <v>10</v>
      </c>
      <c r="B797" s="10" t="s">
        <v>33</v>
      </c>
      <c r="C797" s="5">
        <v>200</v>
      </c>
      <c r="D797" s="9">
        <v>6.8525999999999998</v>
      </c>
      <c r="E797" s="9">
        <v>-3.8654000000000001E-2</v>
      </c>
      <c r="F797" s="11">
        <v>-5.5999999999999999E-3</v>
      </c>
      <c r="G797" s="12">
        <f t="shared" si="60"/>
        <v>1</v>
      </c>
      <c r="H797" s="1">
        <v>1.8400000000000001E-10</v>
      </c>
      <c r="I797" s="2">
        <f t="shared" si="61"/>
        <v>-9.7351821769904632</v>
      </c>
      <c r="J797" s="2">
        <f t="shared" si="62"/>
        <v>-8.7351821769904632</v>
      </c>
      <c r="K797" s="1">
        <f t="shared" si="63"/>
        <v>543478260.86956489</v>
      </c>
      <c r="L797" s="17">
        <f t="shared" si="64"/>
        <v>6.8527090184624067</v>
      </c>
    </row>
    <row r="798" spans="1:12" hidden="1" x14ac:dyDescent="0.3">
      <c r="A798" s="9">
        <v>12.5893</v>
      </c>
      <c r="B798" s="10" t="s">
        <v>33</v>
      </c>
      <c r="C798" s="5">
        <v>200</v>
      </c>
      <c r="D798" s="9">
        <v>6.8586999999999998</v>
      </c>
      <c r="E798" s="9">
        <v>-6.7443000000000003E-2</v>
      </c>
      <c r="F798" s="11">
        <v>-9.7999999999999997E-3</v>
      </c>
      <c r="G798" s="12">
        <f t="shared" si="60"/>
        <v>1.1000015828013521</v>
      </c>
      <c r="H798" s="1">
        <v>1.8400000000000001E-10</v>
      </c>
      <c r="I798" s="2">
        <f t="shared" si="61"/>
        <v>-9.7351821769904632</v>
      </c>
      <c r="J798" s="2">
        <f t="shared" si="62"/>
        <v>-8.6351805941891104</v>
      </c>
      <c r="K798" s="1">
        <f t="shared" si="63"/>
        <v>431698554.22427344</v>
      </c>
      <c r="L798" s="17">
        <f t="shared" si="64"/>
        <v>6.8590315823918608</v>
      </c>
    </row>
    <row r="799" spans="1:12" hidden="1" x14ac:dyDescent="0.3">
      <c r="A799" s="9">
        <v>15.8489</v>
      </c>
      <c r="B799" s="10" t="s">
        <v>33</v>
      </c>
      <c r="C799" s="5">
        <v>200</v>
      </c>
      <c r="D799" s="9">
        <v>6.8895</v>
      </c>
      <c r="E799" s="9">
        <v>-7.3092000000000004E-2</v>
      </c>
      <c r="F799" s="11">
        <v>-1.06E-2</v>
      </c>
      <c r="G799" s="12">
        <f t="shared" si="60"/>
        <v>1.1999991251967967</v>
      </c>
      <c r="H799" s="1">
        <v>1.8400000000000001E-10</v>
      </c>
      <c r="I799" s="2">
        <f t="shared" si="61"/>
        <v>-9.7351821769904632</v>
      </c>
      <c r="J799" s="2">
        <f t="shared" si="62"/>
        <v>-8.5351830517936662</v>
      </c>
      <c r="K799" s="1">
        <f t="shared" si="63"/>
        <v>342912290.99153018</v>
      </c>
      <c r="L799" s="17">
        <f t="shared" si="64"/>
        <v>6.8898877124713724</v>
      </c>
    </row>
    <row r="800" spans="1:12" hidden="1" x14ac:dyDescent="0.3">
      <c r="A800" s="9">
        <v>19.9526</v>
      </c>
      <c r="B800" s="10" t="s">
        <v>33</v>
      </c>
      <c r="C800" s="5">
        <v>200</v>
      </c>
      <c r="D800" s="9">
        <v>6.8712</v>
      </c>
      <c r="E800" s="9">
        <v>-4.2020000000000002E-2</v>
      </c>
      <c r="F800" s="11">
        <v>-6.1000000000000004E-3</v>
      </c>
      <c r="G800" s="12">
        <f t="shared" si="60"/>
        <v>1.2999994961169838</v>
      </c>
      <c r="H800" s="1">
        <v>1.8400000000000001E-10</v>
      </c>
      <c r="I800" s="2">
        <f t="shared" si="61"/>
        <v>-9.7351821769904632</v>
      </c>
      <c r="J800" s="2">
        <f t="shared" si="62"/>
        <v>-8.4351826808734796</v>
      </c>
      <c r="K800" s="1">
        <f t="shared" si="63"/>
        <v>272384682.13143426</v>
      </c>
      <c r="L800" s="17">
        <f t="shared" si="64"/>
        <v>6.8713284829354508</v>
      </c>
    </row>
    <row r="801" spans="1:12" hidden="1" x14ac:dyDescent="0.3">
      <c r="A801" s="9">
        <v>25.1189</v>
      </c>
      <c r="B801" s="10" t="s">
        <v>33</v>
      </c>
      <c r="C801" s="5">
        <v>200</v>
      </c>
      <c r="D801" s="9">
        <v>6.8743999999999996</v>
      </c>
      <c r="E801" s="9">
        <v>-4.7602999999999999E-2</v>
      </c>
      <c r="F801" s="11">
        <v>-6.8999999999999999E-3</v>
      </c>
      <c r="G801" s="12">
        <f t="shared" si="60"/>
        <v>1.4000006169763799</v>
      </c>
      <c r="H801" s="1">
        <v>1.8400000000000001E-10</v>
      </c>
      <c r="I801" s="2">
        <f t="shared" si="61"/>
        <v>-9.7351821769904632</v>
      </c>
      <c r="J801" s="2">
        <f t="shared" si="62"/>
        <v>-8.3351815600140835</v>
      </c>
      <c r="K801" s="1">
        <f t="shared" si="63"/>
        <v>216362285.31884959</v>
      </c>
      <c r="L801" s="17">
        <f t="shared" si="64"/>
        <v>6.874564815725356</v>
      </c>
    </row>
    <row r="802" spans="1:12" hidden="1" x14ac:dyDescent="0.3">
      <c r="A802" s="9">
        <v>31.622800000000002</v>
      </c>
      <c r="B802" s="10" t="s">
        <v>33</v>
      </c>
      <c r="C802" s="5">
        <v>200</v>
      </c>
      <c r="D802" s="9">
        <v>6.8390000000000004</v>
      </c>
      <c r="E802" s="9">
        <v>-3.3054E-2</v>
      </c>
      <c r="F802" s="11">
        <v>-4.7999999999999996E-3</v>
      </c>
      <c r="G802" s="12">
        <f t="shared" si="60"/>
        <v>1.5000003213429354</v>
      </c>
      <c r="H802" s="1">
        <v>1.8400000000000001E-10</v>
      </c>
      <c r="I802" s="2">
        <f t="shared" si="61"/>
        <v>-9.7351821769904632</v>
      </c>
      <c r="J802" s="2">
        <f t="shared" si="62"/>
        <v>-8.2351818556475287</v>
      </c>
      <c r="K802" s="1">
        <f t="shared" si="63"/>
        <v>171862789.14883152</v>
      </c>
      <c r="L802" s="17">
        <f t="shared" si="64"/>
        <v>6.8390798772141856</v>
      </c>
    </row>
    <row r="803" spans="1:12" hidden="1" x14ac:dyDescent="0.3">
      <c r="A803" s="9">
        <v>39.810699999999997</v>
      </c>
      <c r="B803" s="10" t="s">
        <v>33</v>
      </c>
      <c r="C803" s="5">
        <v>200</v>
      </c>
      <c r="D803" s="9">
        <v>6.8704000000000001</v>
      </c>
      <c r="E803" s="9">
        <v>-3.8260000000000002E-2</v>
      </c>
      <c r="F803" s="11">
        <v>-5.5999999999999999E-3</v>
      </c>
      <c r="G803" s="12">
        <f t="shared" si="60"/>
        <v>1.5999998139434199</v>
      </c>
      <c r="H803" s="1">
        <v>1.8400000000000001E-10</v>
      </c>
      <c r="I803" s="2">
        <f t="shared" si="61"/>
        <v>-9.7351821769904632</v>
      </c>
      <c r="J803" s="2">
        <f t="shared" si="62"/>
        <v>-8.1351823630470435</v>
      </c>
      <c r="K803" s="1">
        <f t="shared" si="63"/>
        <v>136515625.41466668</v>
      </c>
      <c r="L803" s="17">
        <f t="shared" si="64"/>
        <v>6.8705065306424098</v>
      </c>
    </row>
    <row r="804" spans="1:12" hidden="1" x14ac:dyDescent="0.3">
      <c r="A804" s="9">
        <v>50.1188</v>
      </c>
      <c r="B804" s="10" t="s">
        <v>33</v>
      </c>
      <c r="C804" s="5">
        <v>200</v>
      </c>
      <c r="D804" s="9">
        <v>6.8986000000000001</v>
      </c>
      <c r="E804" s="9">
        <v>-2.1576000000000001E-2</v>
      </c>
      <c r="F804" s="11">
        <v>-3.0999999999999999E-3</v>
      </c>
      <c r="G804" s="12">
        <f t="shared" si="60"/>
        <v>1.7000006640855352</v>
      </c>
      <c r="H804" s="1">
        <v>1.8400000000000001E-10</v>
      </c>
      <c r="I804" s="2">
        <f t="shared" si="61"/>
        <v>-9.7351821769904632</v>
      </c>
      <c r="J804" s="2">
        <f t="shared" si="62"/>
        <v>-8.0351815129049271</v>
      </c>
      <c r="K804" s="1">
        <f t="shared" si="63"/>
        <v>108438003.47764996</v>
      </c>
      <c r="L804" s="17">
        <f t="shared" si="64"/>
        <v>6.8986337403703351</v>
      </c>
    </row>
    <row r="805" spans="1:12" hidden="1" x14ac:dyDescent="0.3">
      <c r="A805" s="9">
        <v>63.095799999999997</v>
      </c>
      <c r="B805" s="10" t="s">
        <v>33</v>
      </c>
      <c r="C805" s="5">
        <v>200</v>
      </c>
      <c r="D805" s="9">
        <v>6.8822000000000001</v>
      </c>
      <c r="E805" s="9">
        <v>-1.651E-2</v>
      </c>
      <c r="F805" s="11">
        <v>-2.3999999999999998E-3</v>
      </c>
      <c r="G805" s="12">
        <f t="shared" si="60"/>
        <v>1.800000451200845</v>
      </c>
      <c r="H805" s="1">
        <v>1.8400000000000001E-10</v>
      </c>
      <c r="I805" s="2">
        <f t="shared" si="61"/>
        <v>-9.7351821769904632</v>
      </c>
      <c r="J805" s="2">
        <f t="shared" si="62"/>
        <v>-7.9351817257896187</v>
      </c>
      <c r="K805" s="1">
        <f t="shared" si="63"/>
        <v>86135410.101712883</v>
      </c>
      <c r="L805" s="17">
        <f t="shared" si="64"/>
        <v>6.8822198032393596</v>
      </c>
    </row>
    <row r="806" spans="1:12" hidden="1" x14ac:dyDescent="0.3">
      <c r="A806" s="9">
        <v>79.432900000000004</v>
      </c>
      <c r="B806" s="10" t="s">
        <v>33</v>
      </c>
      <c r="C806" s="5">
        <v>200</v>
      </c>
      <c r="D806" s="9">
        <v>6.8601000000000001</v>
      </c>
      <c r="E806" s="9">
        <v>-2.0840000000000001E-2</v>
      </c>
      <c r="F806" s="11">
        <v>-3.0000000000000001E-3</v>
      </c>
      <c r="G806" s="12">
        <f t="shared" si="60"/>
        <v>1.900000418409981</v>
      </c>
      <c r="H806" s="1">
        <v>1.8400000000000001E-10</v>
      </c>
      <c r="I806" s="2">
        <f t="shared" si="61"/>
        <v>-9.7351821769904632</v>
      </c>
      <c r="J806" s="2">
        <f t="shared" si="62"/>
        <v>-7.8351817585804824</v>
      </c>
      <c r="K806" s="1">
        <f t="shared" si="63"/>
        <v>68419793.419296667</v>
      </c>
      <c r="L806" s="17">
        <f t="shared" si="64"/>
        <v>6.8601316543926476</v>
      </c>
    </row>
    <row r="807" spans="1:12" hidden="1" x14ac:dyDescent="0.3">
      <c r="A807" s="9">
        <v>100</v>
      </c>
      <c r="B807" s="10" t="s">
        <v>33</v>
      </c>
      <c r="C807" s="5">
        <v>200</v>
      </c>
      <c r="D807" s="9">
        <v>6.8677000000000001</v>
      </c>
      <c r="E807" s="9">
        <v>-8.088699999999999E-3</v>
      </c>
      <c r="F807" s="11">
        <v>-1.1999999999999999E-3</v>
      </c>
      <c r="G807" s="12">
        <f t="shared" si="60"/>
        <v>2</v>
      </c>
      <c r="H807" s="1">
        <v>1.8400000000000001E-10</v>
      </c>
      <c r="I807" s="2">
        <f t="shared" si="61"/>
        <v>-9.7351821769904632</v>
      </c>
      <c r="J807" s="2">
        <f t="shared" si="62"/>
        <v>-7.7351821769904632</v>
      </c>
      <c r="K807" s="1">
        <f t="shared" si="63"/>
        <v>54347826.086956628</v>
      </c>
      <c r="L807" s="17">
        <f t="shared" si="64"/>
        <v>6.8677047633883985</v>
      </c>
    </row>
  </sheetData>
  <autoFilter ref="A1:G807" xr:uid="{00000000-0009-0000-0000-000003000000}">
    <filterColumn colId="4">
      <customFilters>
        <customFilter operator="greaterThan" val="0"/>
      </custom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Worksheet</vt:lpstr>
      <vt:lpstr>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2021-12-09T18:40:36Z</dcterms:modified>
</cp:coreProperties>
</file>